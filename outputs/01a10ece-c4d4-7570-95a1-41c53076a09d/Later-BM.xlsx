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8f7d41de8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손익" sheetId="1" r:id="Rbc19ba2831614a4c"/>
    <x:sheet xmlns:r="http://schemas.openxmlformats.org/officeDocument/2006/relationships" name="요금제" sheetId="2" r:id="Rd5a4ebde4cbc44c3"/>
    <x:sheet xmlns:r="http://schemas.openxmlformats.org/officeDocument/2006/relationships" name="가정" sheetId="3" r:id="R6adc0b0f1d88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(0.0%);&quot;-&quot;"/>
    <x:numFmt numFmtId="201" formatCode="#,##0.00;(#,##0.00);&quot;-&quot;"/>
    <x:numFmt numFmtId="202" formatCode="#,##0;(#,##0);&quot;-&quot;"/>
    <x:numFmt numFmtId="203" formatCode="0.000"/>
  </x:numFmts>
  <x:fonts count="6">
    <x:font>
      <x:sz val="11"/>
      <x:name val="Carlito"/>
    </x:font>
    <x:font>
      <x:sz val="11"/>
      <x:color rgb="FF182235"/>
      <x:name val="Arial"/>
    </x:font>
    <x:font>
      <x:b/>
      <x:sz val="16"/>
      <x:color rgb="FF182235"/>
      <x:name val="Arial"/>
    </x:font>
    <x:font>
      <x:sz val="11"/>
      <x:color rgb="FF185BC1"/>
      <x:name val="Arial"/>
    </x:font>
    <x:font>
      <x:b/>
      <x:sz val="11"/>
      <x:color rgb="FFFFFFFF"/>
      <x:name val="Arial"/>
    </x:font>
    <x:font>
      <x:b/>
      <x:sz val="11"/>
      <x:color rgb="FF1822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D8"/>
      </x:patternFill>
    </x:fill>
    <x:fill>
      <x:patternFill patternType="solid">
        <x:fgColor rgb="FF223D6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899B0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3" fillId="2" borderId="0" xfId="0" applyNumberFormat="1" applyFont="1" applyFill="1" applyBorder="1"/>
    <x:xf numFmtId="201" fontId="1" fillId="0" borderId="0" xfId="0" applyNumberFormat="1" applyFont="1" applyFill="1" applyBorder="1"/>
    <x:xf numFmtId="201" fontId="3" fillId="2" borderId="0" xfId="0" applyNumberFormat="1" applyFont="1" applyFill="1" applyBorder="1"/>
    <x:xf numFmtId="202" fontId="3" fillId="2" borderId="0" xfId="0" applyNumberFormat="1" applyFont="1" applyFill="1" applyBorder="1"/>
    <x:xf numFmtId="202" fontId="1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1" xfId="0" applyNumberFormat="1" applyFont="1" applyFill="1" applyBorder="1"/>
    <x:xf numFmtId="202" fontId="5" fillId="0" borderId="1" xfId="0" applyNumberFormat="1" applyFont="1" applyFill="1" applyBorder="1"/>
    <x:xf numFmtId="203" fontId="3" fillId="2" borderId="0" xfId="0" applyNumberFormat="1" applyFont="1" applyFill="1" applyBorder="1"/>
  </x:cellXfs>
  <x:cellStyles count="1">
    <x:cellStyle name="Normal" xfId="0"/>
  </x:cellStyles>
  <x:dxfs count="3">
    <x:dxf>
      <x:font>
        <x:color rgb="FFA51C30"/>
      </x:font>
      <x:fill>
        <x:patternFill patternType="solid">
          <x:bgColor rgb="FFFCE4E4"/>
        </x:patternFill>
      </x:fill>
    </x:dxf>
    <x:dxf>
      <x:font>
        <x:color rgb="FFA51C30"/>
      </x:font>
      <x:fill>
        <x:patternFill patternType="solid">
          <x:bgColor rgb="FFFCE4E4"/>
        </x:patternFill>
      </x:fill>
    </x:dxf>
    <x:dxf>
      <x:font>
        <x:color rgb="FFA51C30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902d8de5248f3" /><Relationship Type="http://schemas.openxmlformats.org/officeDocument/2006/relationships/theme" Target="/xl/theme/theme1.xml" Id="R02689015e6964b83" /><Relationship Type="http://schemas.openxmlformats.org/officeDocument/2006/relationships/sharedStrings" Target="/xl/sharedStrings.xml" Id="R2c4d0c6653684058" /><Relationship Type="http://schemas.openxmlformats.org/officeDocument/2006/relationships/worksheet" Target="/xl/worksheets/sheet1.xml" Id="Rbc19ba2831614a4c" /><Relationship Type="http://schemas.openxmlformats.org/officeDocument/2006/relationships/worksheet" Target="/xl/worksheets/sheet2.xml" Id="Rd5a4ebde4cbc44c3" /><Relationship Type="http://schemas.openxmlformats.org/officeDocument/2006/relationships/worksheet" Target="/xl/worksheets/sheet3.xml" Id="R6adc0b0f1d884c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23D6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7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2" ht="23" customHeight="1">
      <x:c r="C2" s="2" t="str">
        <x:v>Later 월 손익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C3" s="1" t="str">
        <x:v>서버 예산잔액과 노동/초기 구축비 포함 경제손익을 분리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C4" s="1" t="str">
        <x:v>조건 선택</x:v>
      </x:c>
      <x:c r="D4" s="1" t="n">
        <x:f>'가정'!D4</x:f>
        <x:v>1</x:v>
      </x:c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38" customHeight="1">
      <x:c r="C7" s="9" t="str">
        <x:v>월 계산 항목</x:v>
      </x:c>
      <x:c r="D7" s="9" t="str">
        <x:v>활성100명</x:v>
      </x:c>
      <x:c r="E7" s="9" t="str">
        <x:v>활성1,000명</x:v>
      </x:c>
      <x:c r="F7" s="9" t="str">
        <x:v>활성5,000명</x:v>
      </x:c>
      <x:c r="G7" s="9" t="str">
        <x:v>활성10,000명</x:v>
      </x:c>
      <x:c r="H7" s="1"/>
      <x:c r="I7" s="1"/>
      <x:c r="J7" s="1"/>
      <x:c r="K7" s="1"/>
      <x:c r="L7" s="1"/>
      <x:c r="M7" s="1"/>
    </x:row>
    <x:row r="8" ht="23" customHeight="1">
      <x:c r="C8" s="1" t="str">
        <x:v>전체 월 활성 수</x:v>
      </x:c>
      <x:c r="D8" s="15" t="n">
        <x:v>100</x:v>
      </x:c>
      <x:c r="E8" s="15" t="n">
        <x:v>1000</x:v>
      </x:c>
      <x:c r="F8" s="15" t="n">
        <x:v>5000</x:v>
      </x:c>
      <x:c r="G8" s="15" t="n">
        <x:v>10000</x:v>
      </x:c>
      <x:c r="H8" s="1"/>
      <x:c r="I8" s="1" t="str">
        <x:v>파란 입력은 변경 가능, 손익은 가정에 따라 재계산</x:v>
      </x:c>
      <x:c r="J8" s="1"/>
      <x:c r="K8" s="1"/>
      <x:c r="L8" s="1"/>
      <x:c r="M8" s="1"/>
    </x:row>
    <x:row r="9" ht="23" customHeight="1">
      <x:c r="C9" s="1" t="str">
        <x:v>유료 회원 수</x:v>
      </x:c>
      <x:c r="D9" s="15" t="n">
        <x:f>D8*'가정'!D16</x:f>
        <x:v>10</x:v>
      </x:c>
      <x:c r="E9" s="15" t="n">
        <x:f>E8*'가정'!D16</x:f>
        <x:v>100</x:v>
      </x:c>
      <x:c r="F9" s="15" t="n">
        <x:f>F8*'가정'!D16</x:f>
        <x:v>500</x:v>
      </x:c>
      <x:c r="G9" s="15" t="n">
        <x:f>G8*'가정'!D16</x:f>
        <x:v>1000</x:v>
      </x:c>
      <x:c r="H9" s="1"/>
      <x:c r="I9" s="1"/>
      <x:c r="J9" s="1"/>
      <x:c r="K9" s="1"/>
      <x:c r="L9" s="1"/>
      <x:c r="M9" s="1"/>
    </x:row>
    <x:row r="10" ht="23" customHeight="1">
      <x:c r="C10" s="1" t="str">
        <x:v>무료 회원 수</x:v>
      </x:c>
      <x:c r="D10" s="15" t="n">
        <x:f>D8-D9</x:f>
        <x:v>90</x:v>
      </x:c>
      <x:c r="E10" s="15" t="n">
        <x:f>E8-E9</x:f>
        <x:v>900</x:v>
      </x:c>
      <x:c r="F10" s="15" t="n">
        <x:f>F8-F9</x:f>
        <x:v>4500</x:v>
      </x:c>
      <x:c r="G10" s="15" t="n">
        <x:f>G8-G9</x:f>
        <x:v>9000</x:v>
      </x:c>
      <x:c r="H10" s="1"/>
      <x:c r="I10" s="1" t="str">
        <x:v>고정 서버 규모는 활성2,000명 단위 예산 가정</x:v>
      </x:c>
      <x:c r="J10" s="1"/>
      <x:c r="K10" s="1"/>
      <x:c r="L10" s="1"/>
      <x:c r="M10" s="1"/>
    </x:row>
    <x:row r="11" ht="23" customHeight="1">
      <x:c r="C11" s="1" t="str">
        <x:v>인프라 규모 배수</x:v>
      </x:c>
      <x:c r="D11" s="15" t="n">
        <x:f>MAX(1,ROUNDUP(D8/'가정'!D22,0))</x:f>
        <x:v>1</x:v>
      </x:c>
      <x:c r="E11" s="15" t="n">
        <x:f>MAX(1,ROUNDUP(E8/'가정'!D22,0))</x:f>
        <x:v>1</x:v>
      </x:c>
      <x:c r="F11" s="15" t="n">
        <x:f>MAX(1,ROUNDUP(F8/'가정'!D22,0))</x:f>
        <x:v>3</x:v>
      </x:c>
      <x:c r="G11" s="15" t="n">
        <x:f>MAX(1,ROUNDUP(G8/'가정'!D22,0))</x:f>
        <x:v>5</x:v>
      </x:c>
      <x:c r="H11" s="1"/>
      <x:c r="I11" s="1"/>
      <x:c r="J11" s="1"/>
      <x:c r="K11" s="1"/>
      <x:c r="L11" s="1"/>
      <x:c r="M11" s="1"/>
    </x:row>
    <x:row r="12" ht="23" customHeight="1">
      <x:c r="C12" s="1"/>
      <x:c r="D12" s="15"/>
      <x:c r="E12" s="15"/>
      <x:c r="F12" s="15"/>
      <x:c r="G12" s="15"/>
      <x:c r="H12" s="1"/>
      <x:c r="I12" s="1" t="str">
        <x:v>크롤러 최소 구독과 사용 credits 예산은 구분</x:v>
      </x:c>
      <x:c r="J12" s="1"/>
      <x:c r="K12" s="1"/>
      <x:c r="L12" s="1"/>
      <x:c r="M12" s="1"/>
    </x:row>
    <x:row r="13" ht="23" customHeight="1">
      <x:c r="C13" s="1" t="str">
        <x:v>소비자 결제 총액</x:v>
      </x:c>
      <x:c r="D13" s="15" t="n">
        <x:f>D9*'요금제'!D17</x:f>
        <x:v>122360</x:v>
      </x:c>
      <x:c r="E13" s="15" t="n">
        <x:f>E9*'요금제'!D17</x:f>
        <x:v>1223600</x:v>
      </x:c>
      <x:c r="F13" s="15" t="n">
        <x:f>F9*'요금제'!D17</x:f>
        <x:v>6118000</x:v>
      </x:c>
      <x:c r="G13" s="15" t="n">
        <x:f>G9*'요금제'!D17</x:f>
        <x:v>12236000</x:v>
      </x:c>
      <x:c r="H13" s="1"/>
      <x:c r="I13" s="1"/>
      <x:c r="J13" s="1"/>
      <x:c r="K13" s="1"/>
      <x:c r="L13" s="1"/>
      <x:c r="M13" s="1"/>
    </x:row>
    <x:row r="14" ht="23" customHeight="1">
      <x:c r="C14" s="1" t="str">
        <x:v>세금 분리 후 금액</x:v>
      </x:c>
      <x:c r="D14" s="15" t="n">
        <x:f>D13/(1+'가정'!D11)</x:f>
        <x:v>111236.36363636363</x:v>
      </x:c>
      <x:c r="E14" s="15" t="n">
        <x:f>E13/(1+'가정'!D11)</x:f>
        <x:v>1112363.6363636362</x:v>
      </x:c>
      <x:c r="F14" s="15" t="n">
        <x:f>F13/(1+'가정'!D11)</x:f>
        <x:v>5561818.181818182</x:v>
      </x:c>
      <x:c r="G14" s="15" t="n">
        <x:f>G13/(1+'가정'!D11)</x:f>
        <x:v>11123636.363636363</x:v>
      </x:c>
      <x:c r="H14" s="1"/>
      <x:c r="I14" s="1" t="str">
        <x:v>보관 무제한은 신규 AI 분석 무제한이 아님</x:v>
      </x:c>
      <x:c r="J14" s="1"/>
      <x:c r="K14" s="1"/>
      <x:c r="L14" s="1"/>
      <x:c r="M14" s="1"/>
    </x:row>
    <x:row r="15" ht="23" customHeight="1">
      <x:c r="C15" s="1" t="str">
        <x:v>스토어 수수료 차감 후</x:v>
      </x:c>
      <x:c r="D15" s="15" t="n">
        <x:f>D14*(1-'가정'!D9)</x:f>
        <x:v>94550.90909090909</x:v>
      </x:c>
      <x:c r="E15" s="15" t="n">
        <x:f>E14*(1-'가정'!D9)</x:f>
        <x:v>945509.0909090908</x:v>
      </x:c>
      <x:c r="F15" s="15" t="n">
        <x:f>F14*(1-'가정'!D9)</x:f>
        <x:v>4727545.454545454</x:v>
      </x:c>
      <x:c r="G15" s="15" t="n">
        <x:f>G14*(1-'가정'!D9)</x:f>
        <x:v>9455090.909090908</x:v>
      </x:c>
      <x:c r="H15" s="1"/>
      <x:c r="I15" s="1"/>
      <x:c r="J15" s="1"/>
      <x:c r="K15" s="1"/>
      <x:c r="L15" s="1"/>
      <x:c r="M15" s="1"/>
    </x:row>
    <x:row r="16" ht="23" customHeight="1">
      <x:c r="C16" s="1" t="str">
        <x:v>환불 차감 후</x:v>
      </x:c>
      <x:c r="D16" s="15" t="n">
        <x:f>D15*(1-'가정'!D10)</x:f>
        <x:v>91714.3818181818</x:v>
      </x:c>
      <x:c r="E16" s="15" t="n">
        <x:f>E15*(1-'가정'!D10)</x:f>
        <x:v>917143.8181818181</x:v>
      </x:c>
      <x:c r="F16" s="15" t="n">
        <x:f>F15*(1-'가정'!D10)</x:f>
        <x:v>4585719.090909091</x:v>
      </x:c>
      <x:c r="G16" s="15" t="n">
        <x:f>G15*(1-'가정'!D10)</x:f>
        <x:v>9171438.181818182</x:v>
      </x:c>
      <x:c r="H16" s="1"/>
      <x:c r="I16" s="1" t="str">
        <x:v>경제손익은 법정 회계 순이익이 아닌 비용 회수 모델</x:v>
      </x:c>
      <x:c r="J16" s="1"/>
      <x:c r="K16" s="1"/>
      <x:c r="L16" s="1"/>
      <x:c r="M16" s="1"/>
    </x:row>
    <x:row r="17" ht="23" customHeight="1">
      <x:c r="C17" s="1" t="str">
        <x:v>결제 손실 예비액</x:v>
      </x:c>
      <x:c r="D17" s="15" t="n">
        <x:f>D13*'가정'!D12</x:f>
        <x:v>1223.6000000000001</x:v>
      </x:c>
      <x:c r="E17" s="15" t="n">
        <x:f>E13*'가정'!D12</x:f>
        <x:v>12236</x:v>
      </x:c>
      <x:c r="F17" s="15" t="n">
        <x:f>F13*'가정'!D12</x:f>
        <x:v>61180</x:v>
      </x:c>
      <x:c r="G17" s="15" t="n">
        <x:f>G13*'가정'!D12</x:f>
        <x:v>122360</x:v>
      </x:c>
      <x:c r="H17" s="1"/>
      <x:c r="I17" s="1"/>
      <x:c r="J17" s="1"/>
      <x:c r="K17" s="1"/>
      <x:c r="L17" s="1"/>
      <x:c r="M17" s="1"/>
    </x:row>
    <x:row r="18" ht="23" customHeight="1">
      <x:c r="C18" s="19" t="str">
        <x:v>가용 수입</x:v>
      </x:c>
      <x:c r="D18" s="20" t="n">
        <x:f>D16-D17</x:f>
        <x:v>90490.7818181818</x:v>
      </x:c>
      <x:c r="E18" s="20" t="n">
        <x:f>E16-E17</x:f>
        <x:v>904907.8181818181</x:v>
      </x:c>
      <x:c r="F18" s="20" t="n">
        <x:f>F16-F17</x:f>
        <x:v>4524539.090909091</x:v>
      </x:c>
      <x:c r="G18" s="20" t="n">
        <x:f>G16-G17</x:f>
        <x:v>9049078.181818182</x:v>
      </x:c>
      <x:c r="H18" s="1"/>
      <x:c r="I18" s="1" t="str">
        <x:v>BE는 같은 전체 활성 수에서 필요한 유료 전환 수</x:v>
      </x:c>
      <x:c r="J18" s="1"/>
      <x:c r="K18" s="1"/>
      <x:c r="L18" s="1"/>
      <x:c r="M18" s="1"/>
    </x:row>
    <x:row r="19" ht="23" customHeight="1">
      <x:c r="C19" s="1"/>
      <x:c r="D19" s="15"/>
      <x:c r="E19" s="15"/>
      <x:c r="F19" s="15"/>
      <x:c r="G19" s="15"/>
      <x:c r="H19" s="1"/>
      <x:c r="I19" s="1"/>
      <x:c r="J19" s="1"/>
      <x:c r="K19" s="1"/>
      <x:c r="L19" s="1"/>
      <x:c r="M19" s="1"/>
    </x:row>
    <x:row r="20" ht="23" customHeight="1">
      <x:c r="C20" s="1" t="str">
        <x:v>유료 월 신규 분석 건수</x:v>
      </x:c>
      <x:c r="D20" s="15" t="n">
        <x:f>D9*'요금제'!D18*'가정'!D15</x:f>
        <x:v>986.9999999999999</x:v>
      </x:c>
      <x:c r="E20" s="15" t="n">
        <x:f>E9*'요금제'!D18*'가정'!D15</x:f>
        <x:v>9870</x:v>
      </x:c>
      <x:c r="F20" s="15" t="n">
        <x:f>F9*'요금제'!D18*'가정'!D15</x:f>
        <x:v>49350</x:v>
      </x:c>
      <x:c r="G20" s="15" t="n">
        <x:f>G9*'요금제'!D18*'가정'!D15</x:f>
        <x:v>98700</x:v>
      </x:c>
      <x:c r="H20" s="1"/>
      <x:c r="I20" s="1" t="str">
        <x:v>검색 질의수는 비용 가정이며 실제 상품 제한 아님</x:v>
      </x:c>
      <x:c r="J20" s="1"/>
      <x:c r="K20" s="1"/>
      <x:c r="L20" s="1"/>
      <x:c r="M20" s="1"/>
    </x:row>
    <x:row r="21" ht="23" customHeight="1">
      <x:c r="C21" s="1" t="str">
        <x:v>무료 월 신규 분석 건수</x:v>
      </x:c>
      <x:c r="D21" s="15" t="n">
        <x:f>D10*'가정'!F60*'가정'!D14</x:f>
        <x:v>225</x:v>
      </x:c>
      <x:c r="E21" s="15" t="n">
        <x:f>E10*'가정'!F60*'가정'!D14</x:f>
        <x:v>2250</x:v>
      </x:c>
      <x:c r="F21" s="15" t="n">
        <x:f>F10*'가정'!F60*'가정'!D14</x:f>
        <x:v>11250</x:v>
      </x:c>
      <x:c r="G21" s="15" t="n">
        <x:f>G10*'가정'!F60*'가정'!D14</x:f>
        <x:v>22500</x:v>
      </x:c>
      <x:c r="H21" s="1"/>
      <x:c r="I21" s="1"/>
      <x:c r="J21" s="1"/>
      <x:c r="K21" s="1"/>
      <x:c r="L21" s="1"/>
      <x:c r="M21" s="1"/>
    </x:row>
    <x:row r="22" ht="23" customHeight="1">
      <x:c r="C22" s="1" t="str">
        <x:v>가입 보너스 분석 건수</x:v>
      </x:c>
      <x:c r="D22" s="15" t="n">
        <x:f>D8*'가정'!D19*'가정'!D20*'가정'!D21</x:f>
        <x:v>50</x:v>
      </x:c>
      <x:c r="E22" s="15" t="n">
        <x:f>E8*'가정'!D19*'가정'!D20*'가정'!D21</x:f>
        <x:v>500</x:v>
      </x:c>
      <x:c r="F22" s="15" t="n">
        <x:f>F8*'가정'!D19*'가정'!D20*'가정'!D21</x:f>
        <x:v>2500</x:v>
      </x:c>
      <x:c r="G22" s="15" t="n">
        <x:f>G8*'가정'!D19*'가정'!D20*'가정'!D21</x:f>
        <x:v>5000</x:v>
      </x:c>
      <x:c r="H22" s="1"/>
      <x:c r="I22" s="1"/>
      <x:c r="J22" s="1"/>
      <x:c r="K22" s="1"/>
      <x:c r="L22" s="1"/>
      <x:c r="M22" s="1"/>
    </x:row>
    <x:row r="23" ht="23" customHeight="1">
      <x:c r="C23" s="1" t="str">
        <x:v>분석 총 변동비</x:v>
      </x:c>
      <x:c r="D23" s="15" t="n">
        <x:f>SUM(D20:D22)*'가정'!D13</x:f>
        <x:v>18930</x:v>
      </x:c>
      <x:c r="E23" s="15" t="n">
        <x:f>SUM(E20:E22)*'가정'!D13</x:f>
        <x:v>189300</x:v>
      </x:c>
      <x:c r="F23" s="15" t="n">
        <x:f>SUM(F20:F22)*'가정'!D13</x:f>
        <x:v>946500</x:v>
      </x:c>
      <x:c r="G23" s="15" t="n">
        <x:f>SUM(G20:G22)*'가정'!D13</x:f>
        <x:v>1893000</x:v>
      </x:c>
      <x:c r="H23" s="1"/>
      <x:c r="I23" s="1"/>
      <x:c r="J23" s="1"/>
      <x:c r="K23" s="1"/>
      <x:c r="L23" s="1"/>
      <x:c r="M23" s="1"/>
    </x:row>
    <x:row r="24" ht="23" customHeight="1">
      <x:c r="C24" s="1" t="str">
        <x:v>유료 저장/조회 증분</x:v>
      </x:c>
      <x:c r="D24" s="15" t="n">
        <x:f>D9*'요금제'!D19</x:f>
        <x:v>1175</x:v>
      </x:c>
      <x:c r="E24" s="15" t="n">
        <x:f>E9*'요금제'!D19</x:f>
        <x:v>11750</x:v>
      </x:c>
      <x:c r="F24" s="15" t="n">
        <x:f>F9*'요금제'!D19</x:f>
        <x:v>58750</x:v>
      </x:c>
      <x:c r="G24" s="15" t="n">
        <x:f>G9*'요금제'!D19</x:f>
        <x:v>117500</x:v>
      </x:c>
      <x:c r="H24" s="1"/>
      <x:c r="I24" s="1"/>
      <x:c r="J24" s="1"/>
      <x:c r="K24" s="1"/>
      <x:c r="L24" s="1"/>
      <x:c r="M24" s="1"/>
    </x:row>
    <x:row r="25" ht="23" customHeight="1">
      <x:c r="C25" s="1" t="str">
        <x:v>무료 저장/조회 증분</x:v>
      </x:c>
      <x:c r="D25" s="15" t="n">
        <x:f>D10*'가정'!F56</x:f>
        <x:v>1800</x:v>
      </x:c>
      <x:c r="E25" s="15" t="n">
        <x:f>E10*'가정'!F56</x:f>
        <x:v>18000</x:v>
      </x:c>
      <x:c r="F25" s="15" t="n">
        <x:f>F10*'가정'!F56</x:f>
        <x:v>90000</x:v>
      </x:c>
      <x:c r="G25" s="15" t="n">
        <x:f>G10*'가정'!F56</x:f>
        <x:v>180000</x:v>
      </x:c>
      <x:c r="H25" s="1"/>
      <x:c r="I25" s="1"/>
      <x:c r="J25" s="1"/>
      <x:c r="K25" s="1"/>
      <x:c r="L25" s="1"/>
      <x:c r="M25" s="1"/>
    </x:row>
    <x:row r="26" ht="23" customHeight="1">
      <x:c r="C26" s="1" t="str">
        <x:v>검색 임베딩 증분</x:v>
      </x:c>
      <x:c r="D26" s="15" t="n">
        <x:f>(D9*'가정'!F59+D10*'가정'!F58)*'가정'!F57</x:f>
        <x:v>280</x:v>
      </x:c>
      <x:c r="E26" s="15" t="n">
        <x:f>(E9*'가정'!F59+E10*'가정'!F58)*'가정'!F57</x:f>
        <x:v>2800</x:v>
      </x:c>
      <x:c r="F26" s="15" t="n">
        <x:f>(F9*'가정'!F59+F10*'가정'!F58)*'가정'!F57</x:f>
        <x:v>14000</x:v>
      </x:c>
      <x:c r="G26" s="15" t="n">
        <x:f>(G9*'가정'!F59+G10*'가정'!F58)*'가정'!F57</x:f>
        <x:v>28000</x:v>
      </x:c>
      <x:c r="H26" s="1"/>
      <x:c r="I26" s="1"/>
      <x:c r="J26" s="1"/>
      <x:c r="K26" s="1"/>
      <x:c r="L26" s="1"/>
      <x:c r="M26" s="1"/>
    </x:row>
    <x:row r="27" ht="23" customHeight="1">
      <x:c r="C27" s="1" t="str">
        <x:v>회원 고객응대 예산</x:v>
      </x:c>
      <x:c r="D27" s="15" t="n">
        <x:f>D9*'가정'!F55+D10*'가정'!F54</x:f>
        <x:v>1950</x:v>
      </x:c>
      <x:c r="E27" s="15" t="n">
        <x:f>E9*'가정'!F55+E10*'가정'!F54</x:f>
        <x:v>19500</x:v>
      </x:c>
      <x:c r="F27" s="15" t="n">
        <x:f>F9*'가정'!F55+F10*'가정'!F54</x:f>
        <x:v>97500</x:v>
      </x:c>
      <x:c r="G27" s="15" t="n">
        <x:f>G9*'가정'!F55+G10*'가정'!F54</x:f>
        <x:v>195000</x:v>
      </x:c>
      <x:c r="H27" s="1"/>
      <x:c r="I27" s="1"/>
      <x:c r="J27" s="1"/>
      <x:c r="K27" s="1"/>
      <x:c r="L27" s="1"/>
      <x:c r="M27" s="1"/>
    </x:row>
    <x:row r="28" ht="23" customHeight="1">
      <x:c r="C28" s="19" t="str">
        <x:v>서비스 변동비 합계</x:v>
      </x:c>
      <x:c r="D28" s="20" t="n">
        <x:f>SUM(D23:D27)</x:f>
        <x:v>24135</x:v>
      </x:c>
      <x:c r="E28" s="20" t="n">
        <x:f>SUM(E23:E27)</x:f>
        <x:v>241350</x:v>
      </x:c>
      <x:c r="F28" s="20" t="n">
        <x:f>SUM(F23:F27)</x:f>
        <x:v>1206750</x:v>
      </x:c>
      <x:c r="G28" s="20" t="n">
        <x:f>SUM(G23:G27)</x:f>
        <x:v>2413500</x:v>
      </x:c>
      <x:c r="H28" s="1"/>
      <x:c r="I28" s="1"/>
      <x:c r="J28" s="1"/>
      <x:c r="K28" s="1"/>
      <x:c r="L28" s="1"/>
      <x:c r="M28" s="1"/>
    </x:row>
    <x:row r="29" ht="23" customHeight="1">
      <x:c r="C29" s="1"/>
      <x:c r="D29" s="15"/>
      <x:c r="E29" s="15"/>
      <x:c r="F29" s="15"/>
      <x:c r="G29" s="15"/>
      <x:c r="H29" s="1"/>
      <x:c r="I29" s="1"/>
      <x:c r="J29" s="1"/>
      <x:c r="K29" s="1"/>
      <x:c r="L29" s="1"/>
      <x:c r="M29" s="1"/>
    </x:row>
    <x:row r="30" ht="23" customHeight="1">
      <x:c r="C30" s="1" t="str">
        <x:v>API/worker/DB/Redis</x:v>
      </x:c>
      <x:c r="D30" s="15" t="n">
        <x:f>SUMPRODUCT('가정'!D31:D34,'가정'!E31:E34)*'가정'!D8*D11</x:f>
        <x:v>82500</x:v>
      </x:c>
      <x:c r="E30" s="15" t="n">
        <x:f>SUMPRODUCT('가정'!D31:D34,'가정'!E31:E34)*'가정'!D8*E11</x:f>
        <x:v>82500</x:v>
      </x:c>
      <x:c r="F30" s="15" t="n">
        <x:f>SUMPRODUCT('가정'!D31:D34,'가정'!E31:E34)*'가정'!D8*F11</x:f>
        <x:v>247500</x:v>
      </x:c>
      <x:c r="G30" s="15" t="n">
        <x:f>SUMPRODUCT('가정'!D31:D34,'가정'!E31:E34)*'가정'!D8*G11</x:f>
        <x:v>412500</x:v>
      </x:c>
      <x:c r="H30" s="1"/>
      <x:c r="I30" s="1"/>
      <x:c r="J30" s="1"/>
      <x:c r="K30" s="1"/>
      <x:c r="L30" s="1"/>
      <x:c r="M30" s="1"/>
    </x:row>
    <x:row r="31" ht="23" customHeight="1">
      <x:c r="C31" s="1" t="str">
        <x:v>저장/백업/전송/관측</x:v>
      </x:c>
      <x:c r="D31" s="15" t="n">
        <x:f>SUMPRODUCT('가정'!D35:D37,'가정'!F35:F37)*D11</x:f>
        <x:v>45000</x:v>
      </x:c>
      <x:c r="E31" s="15" t="n">
        <x:f>SUMPRODUCT('가정'!D35:D37,'가정'!F35:F37)*E11</x:f>
        <x:v>45000</x:v>
      </x:c>
      <x:c r="F31" s="15" t="n">
        <x:f>SUMPRODUCT('가정'!D35:D37,'가정'!F35:F37)*F11</x:f>
        <x:v>135000</x:v>
      </x:c>
      <x:c r="G31" s="15" t="n">
        <x:f>SUMPRODUCT('가정'!D35:D37,'가정'!F35:F37)*G11</x:f>
        <x:v>225000</x:v>
      </x:c>
      <x:c r="H31" s="1"/>
      <x:c r="I31" s="1"/>
      <x:c r="J31" s="1"/>
      <x:c r="K31" s="1"/>
      <x:c r="L31" s="1"/>
      <x:c r="M31" s="1"/>
    </x:row>
    <x:row r="32" ht="23" customHeight="1">
      <x:c r="C32" s="1" t="str">
        <x:v>메일/빌드/도메인/법무/회계</x:v>
      </x:c>
      <x:c r="D32" s="15" t="n">
        <x:f>('가정'!D38*'가정'!E38+'가정'!D39*'가정'!E39)*'가정'!D8+SUMPRODUCT('가정'!D39:D40,'가정'!F39:F40)+SUMPRODUCT('가정'!D42:D43,'가정'!F42:F43)</x:f>
        <x:v>171000</x:v>
      </x:c>
      <x:c r="E32" s="15" t="n">
        <x:f>('가정'!D38*'가정'!E38+'가정'!D39*'가정'!E39)*'가정'!D8+SUMPRODUCT('가정'!D39:D40,'가정'!F39:F40)+SUMPRODUCT('가정'!D42:D43,'가정'!F42:F43)</x:f>
        <x:v>171000</x:v>
      </x:c>
      <x:c r="F32" s="15" t="n">
        <x:f>('가정'!D38*'가정'!E38+'가정'!D39*'가정'!E39)*'가정'!D8+SUMPRODUCT('가정'!D39:D40,'가정'!F39:F40)+SUMPRODUCT('가정'!D42:D43,'가정'!F42:F43)</x:f>
        <x:v>171000</x:v>
      </x:c>
      <x:c r="G32" s="15" t="n">
        <x:f>('가정'!D38*'가정'!E38+'가정'!D39*'가정'!E39)*'가정'!D8+SUMPRODUCT('가정'!D39:D40,'가정'!F39:F40)+SUMPRODUCT('가정'!D42:D43,'가정'!F42:F43)</x:f>
        <x:v>171000</x:v>
      </x:c>
      <x:c r="H32" s="1"/>
      <x:c r="I32" s="1"/>
      <x:c r="J32" s="1"/>
      <x:c r="K32" s="1"/>
      <x:c r="L32" s="1"/>
      <x:c r="M32" s="1"/>
    </x:row>
    <x:row r="33" ht="23" customHeight="1">
      <x:c r="C33" s="1" t="str">
        <x:v>Apple 계정 월 환산</x:v>
      </x:c>
      <x:c r="D33" s="15" t="n">
        <x:f>'가정'!D41*'가정'!E41*'가정'!D8</x:f>
        <x:v>12375</x:v>
      </x:c>
      <x:c r="E33" s="15" t="n">
        <x:f>'가정'!D41*'가정'!E41*'가정'!D8</x:f>
        <x:v>12375</x:v>
      </x:c>
      <x:c r="F33" s="15" t="n">
        <x:f>'가정'!D41*'가정'!E41*'가정'!D8</x:f>
        <x:v>12375</x:v>
      </x:c>
      <x:c r="G33" s="15" t="n">
        <x:f>'가정'!D41*'가정'!E41*'가정'!D8</x:f>
        <x:v>12375</x:v>
      </x:c>
      <x:c r="H33" s="1"/>
      <x:c r="I33" s="1"/>
      <x:c r="J33" s="1"/>
      <x:c r="K33" s="1"/>
      <x:c r="L33" s="1"/>
      <x:c r="M33" s="1"/>
    </x:row>
    <x:row r="34" ht="23" customHeight="1">
      <x:c r="C34" s="1" t="str">
        <x:v>크롤러 최소 구독</x:v>
      </x:c>
      <x:c r="D34" s="15" t="n">
        <x:f>'가정'!D44*'가정'!E44*'가정'!D8</x:f>
        <x:v>28500</x:v>
      </x:c>
      <x:c r="E34" s="15" t="n">
        <x:f>'가정'!D44*'가정'!E44*'가정'!D8</x:f>
        <x:v>28500</x:v>
      </x:c>
      <x:c r="F34" s="15" t="n">
        <x:f>'가정'!D44*'가정'!E44*'가정'!D8</x:f>
        <x:v>28500</x:v>
      </x:c>
      <x:c r="G34" s="15" t="n">
        <x:f>'가정'!D44*'가정'!E44*'가정'!D8</x:f>
        <x:v>28500</x:v>
      </x:c>
      <x:c r="H34" s="1"/>
      <x:c r="I34" s="1"/>
      <x:c r="J34" s="1"/>
      <x:c r="K34" s="1"/>
      <x:c r="L34" s="1"/>
      <x:c r="M34" s="1"/>
    </x:row>
    <x:row r="35" ht="23" customHeight="1">
      <x:c r="C35" s="1" t="str">
        <x:v>이탈 보충 마케팅</x:v>
      </x:c>
      <x:c r="D35" s="15" t="n">
        <x:f>MAX('가정'!F45,D9*'가정'!D17*'가정'!D18)</x:f>
        <x:v>100000</x:v>
      </x:c>
      <x:c r="E35" s="15" t="n">
        <x:f>MAX('가정'!F45,E9*'가정'!D17*'가정'!D18)</x:f>
        <x:v>100000</x:v>
      </x:c>
      <x:c r="F35" s="15" t="n">
        <x:f>MAX('가정'!F45,F9*'가정'!D17*'가정'!D18)</x:f>
        <x:v>375000</x:v>
      </x:c>
      <x:c r="G35" s="15" t="n">
        <x:f>MAX('가정'!F45,G9*'가정'!D17*'가정'!D18)</x:f>
        <x:v>750000</x:v>
      </x:c>
      <x:c r="H35" s="1"/>
      <x:c r="I35" s="1"/>
      <x:c r="J35" s="1"/>
      <x:c r="K35" s="1"/>
      <x:c r="L35" s="1"/>
      <x:c r="M35" s="1"/>
    </x:row>
    <x:row r="36" ht="23" customHeight="1">
      <x:c r="C36" s="1" t="str">
        <x:v>현금 고정비 소계</x:v>
      </x:c>
      <x:c r="D36" s="15" t="n">
        <x:f>SUM(D30:D35)</x:f>
        <x:v>439375</x:v>
      </x:c>
      <x:c r="E36" s="15" t="n">
        <x:f>SUM(E30:E35)</x:f>
        <x:v>439375</x:v>
      </x:c>
      <x:c r="F36" s="15" t="n">
        <x:f>SUM(F30:F35)</x:f>
        <x:v>969375</x:v>
      </x:c>
      <x:c r="G36" s="15" t="n">
        <x:f>SUM(G30:G35)</x:f>
        <x:v>1599375</x:v>
      </x:c>
      <x:c r="H36" s="1"/>
      <x:c r="I36" s="1"/>
      <x:c r="J36" s="1"/>
      <x:c r="K36" s="1"/>
      <x:c r="L36" s="1"/>
      <x:c r="M36" s="1"/>
    </x:row>
    <x:row r="37" ht="23" customHeight="1">
      <x:c r="C37" s="1" t="str">
        <x:v>현금 고정비 예비액</x:v>
      </x:c>
      <x:c r="D37" s="15" t="n">
        <x:f>D36*'가정'!F46</x:f>
        <x:v>43937.5</x:v>
      </x:c>
      <x:c r="E37" s="15" t="n">
        <x:f>E36*'가정'!F46</x:f>
        <x:v>43937.5</x:v>
      </x:c>
      <x:c r="F37" s="15" t="n">
        <x:f>F36*'가정'!F46</x:f>
        <x:v>96937.5</x:v>
      </x:c>
      <x:c r="G37" s="15" t="n">
        <x:f>G36*'가정'!F46</x:f>
        <x:v>159937.5</x:v>
      </x:c>
      <x:c r="H37" s="1"/>
      <x:c r="I37" s="1"/>
      <x:c r="J37" s="1"/>
      <x:c r="K37" s="1"/>
      <x:c r="L37" s="1"/>
      <x:c r="M37" s="1"/>
    </x:row>
    <x:row r="38" ht="23" customHeight="1">
      <x:c r="C38" s="19" t="str">
        <x:v>현금 고정비 총액</x:v>
      </x:c>
      <x:c r="D38" s="20" t="n">
        <x:f>SUM(D36:D37)</x:f>
        <x:v>483312.5</x:v>
      </x:c>
      <x:c r="E38" s="20" t="n">
        <x:f>SUM(E36:E37)</x:f>
        <x:v>483312.5</x:v>
      </x:c>
      <x:c r="F38" s="20" t="n">
        <x:f>SUM(F36:F37)</x:f>
        <x:v>1066312.5</x:v>
      </x:c>
      <x:c r="G38" s="20" t="n">
        <x:f>SUM(G36:G37)</x:f>
        <x:v>1759312.5</x:v>
      </x:c>
      <x:c r="H38" s="1"/>
      <x:c r="I38" s="1"/>
      <x:c r="J38" s="1"/>
      <x:c r="K38" s="1"/>
      <x:c r="L38" s="1"/>
      <x:c r="M38" s="1"/>
    </x:row>
    <x:row r="39" ht="23" customHeight="1">
      <x:c r="C39" s="1"/>
      <x:c r="D39" s="15"/>
      <x:c r="E39" s="15"/>
      <x:c r="F39" s="15"/>
      <x:c r="G39" s="15"/>
      <x:c r="H39" s="1"/>
      <x:c r="I39" s="1"/>
      <x:c r="J39" s="1"/>
      <x:c r="K39" s="1"/>
      <x:c r="L39" s="1"/>
      <x:c r="M39" s="1"/>
    </x:row>
    <x:row r="40" ht="23" customHeight="1">
      <x:c r="C40" s="19" t="str">
        <x:v>현금 비용 차감 잔액</x:v>
      </x:c>
      <x:c r="D40" s="20" t="n">
        <x:f>D18-D28-D38</x:f>
        <x:v>-416956.7181818182</x:v>
      </x:c>
      <x:c r="E40" s="20" t="n">
        <x:f>E18-E28-E38</x:f>
        <x:v>180245.31818181812</x:v>
      </x:c>
      <x:c r="F40" s="20" t="n">
        <x:f>F18-F28-F38</x:f>
        <x:v>2251476.590909091</x:v>
      </x:c>
      <x:c r="G40" s="20" t="n">
        <x:f>G18-G28-G38</x:f>
        <x:v>4876265.681818182</x:v>
      </x:c>
      <x:c r="H40" s="1"/>
      <x:c r="I40" s="1"/>
      <x:c r="J40" s="1"/>
      <x:c r="K40" s="1"/>
      <x:c r="L40" s="1"/>
      <x:c r="M40" s="1"/>
    </x:row>
    <x:row r="41" ht="23" customHeight="1">
      <x:c r="C41" s="1"/>
      <x:c r="D41" s="15"/>
      <x:c r="E41" s="15"/>
      <x:c r="F41" s="15"/>
      <x:c r="G41" s="15"/>
      <x:c r="H41" s="1"/>
      <x:c r="I41" s="1"/>
      <x:c r="J41" s="1"/>
      <x:c r="K41" s="1"/>
      <x:c r="L41" s="1"/>
      <x:c r="M41" s="1"/>
    </x:row>
    <x:row r="42" ht="23" customHeight="1">
      <x:c r="C42" s="1" t="str">
        <x:v>유지 개발/운영 노동</x:v>
      </x:c>
      <x:c r="D42" s="15" t="n">
        <x:f>'가정'!F47*'가정'!F48</x:f>
        <x:v>1200000</x:v>
      </x:c>
      <x:c r="E42" s="15" t="n">
        <x:f>'가정'!F47*'가정'!F48</x:f>
        <x:v>1200000</x:v>
      </x:c>
      <x:c r="F42" s="15" t="n">
        <x:f>'가정'!F47*'가정'!F48</x:f>
        <x:v>1200000</x:v>
      </x:c>
      <x:c r="G42" s="15" t="n">
        <x:f>'가정'!F47*'가정'!F48</x:f>
        <x:v>1200000</x:v>
      </x:c>
      <x:c r="H42" s="1"/>
      <x:c r="I42" s="1"/>
      <x:c r="J42" s="1"/>
      <x:c r="K42" s="1"/>
      <x:c r="L42" s="1"/>
      <x:c r="M42" s="1"/>
    </x:row>
    <x:row r="43" ht="23" customHeight="1">
      <x:c r="C43" s="1" t="str">
        <x:v>초기 구축비 월 회수</x:v>
      </x:c>
      <x:c r="D43" s="15" t="n">
        <x:f>('가정'!F49*'가정'!F48+'가정'!F50+'가정'!F51+'가정'!E52*'가정'!D8)/'가정'!F53</x:f>
        <x:v>347395.8333333333</x:v>
      </x:c>
      <x:c r="E43" s="15" t="n">
        <x:f>('가정'!F49*'가정'!F48+'가정'!F50+'가정'!F51+'가정'!E52*'가정'!D8)/'가정'!F53</x:f>
        <x:v>347395.8333333333</x:v>
      </x:c>
      <x:c r="F43" s="15" t="n">
        <x:f>('가정'!F49*'가정'!F48+'가정'!F50+'가정'!F51+'가정'!E52*'가정'!D8)/'가정'!F53</x:f>
        <x:v>347395.8333333333</x:v>
      </x:c>
      <x:c r="G43" s="15" t="n">
        <x:f>('가정'!F49*'가정'!F48+'가정'!F50+'가정'!F51+'가정'!E52*'가정'!D8)/'가정'!F53</x:f>
        <x:v>347395.8333333333</x:v>
      </x:c>
      <x:c r="H43" s="1"/>
      <x:c r="I43" s="1"/>
      <x:c r="J43" s="1"/>
      <x:c r="K43" s="1"/>
      <x:c r="L43" s="1"/>
      <x:c r="M43" s="1"/>
    </x:row>
    <x:row r="44" ht="23" customHeight="1">
      <x:c r="C44" s="19" t="str">
        <x:v>노동/구축비 포함 경제손익</x:v>
      </x:c>
      <x:c r="D44" s="20" t="n">
        <x:f>D40-D42-D43</x:f>
        <x:v>-1964352.5515151515</x:v>
      </x:c>
      <x:c r="E44" s="20" t="n">
        <x:f>E40-E42-E43</x:f>
        <x:v>-1367150.5151515151</x:v>
      </x:c>
      <x:c r="F44" s="20" t="n">
        <x:f>F40-F42-F43</x:f>
        <x:v>704080.7575757576</x:v>
      </x:c>
      <x:c r="G44" s="20" t="n">
        <x:f>G40-G42-G43</x:f>
        <x:v>3328869.848484848</x:v>
      </x:c>
      <x:c r="H44" s="1"/>
      <x:c r="I44" s="1"/>
      <x:c r="J44" s="1"/>
      <x:c r="K44" s="1"/>
      <x:c r="L44" s="1"/>
      <x:c r="M44" s="1"/>
    </x:row>
    <x:row r="45" ht="23" customHeight="1">
      <x:c r="C45" s="1" t="str">
        <x:v>양수 경제손익 세금 예비</x:v>
      </x:c>
      <x:c r="D45" s="15" t="n">
        <x:f>MAX(0,D44)*'가정'!D23</x:f>
        <x:v>0</x:v>
      </x:c>
      <x:c r="E45" s="15" t="n">
        <x:f>MAX(0,E44)*'가정'!D23</x:f>
        <x:v>0</x:v>
      </x:c>
      <x:c r="F45" s="15" t="n">
        <x:f>MAX(0,F44)*'가정'!D23</x:f>
        <x:v>140816.15151515152</x:v>
      </x:c>
      <x:c r="G45" s="15" t="n">
        <x:f>MAX(0,G44)*'가정'!D23</x:f>
        <x:v>665773.9696969697</x:v>
      </x:c>
      <x:c r="H45" s="1"/>
      <x:c r="I45" s="1"/>
      <x:c r="J45" s="1"/>
      <x:c r="K45" s="1"/>
      <x:c r="L45" s="1"/>
      <x:c r="M45" s="1"/>
    </x:row>
    <x:row r="46" ht="23" customHeight="1">
      <x:c r="C46" s="19" t="str">
        <x:v>세금 예비 후 경제손익</x:v>
      </x:c>
      <x:c r="D46" s="20" t="n">
        <x:f>D44-D45</x:f>
        <x:v>-1964352.5515151515</x:v>
      </x:c>
      <x:c r="E46" s="20" t="n">
        <x:f>E44-E45</x:f>
        <x:v>-1367150.5151515151</x:v>
      </x:c>
      <x:c r="F46" s="20" t="n">
        <x:f>F44-F45</x:f>
        <x:v>563264.6060606061</x:v>
      </x:c>
      <x:c r="G46" s="20" t="n">
        <x:f>G44-G45</x:f>
        <x:v>2663095.8787878784</x:v>
      </x:c>
      <x:c r="H46" s="1"/>
      <x:c r="I46" s="1"/>
      <x:c r="J46" s="1"/>
      <x:c r="K46" s="1"/>
      <x:c r="L46" s="1"/>
      <x:c r="M46" s="1"/>
    </x:row>
    <x:row r="47" ht="23" customHeight="1">
      <x:c r="C47" s="1"/>
      <x:c r="D47" s="15"/>
      <x:c r="E47" s="15"/>
      <x:c r="F47" s="15"/>
      <x:c r="G47" s="15"/>
      <x:c r="H47" s="1"/>
      <x:c r="I47" s="1"/>
      <x:c r="J47" s="1"/>
      <x:c r="K47" s="1"/>
      <x:c r="L47" s="1"/>
      <x:c r="M47" s="1"/>
    </x:row>
    <x:row r="48" ht="23" customHeight="1">
      <x:c r="C48" s="1" t="str">
        <x:v>유료 1명 순수입</x:v>
      </x:c>
      <x:c r="D48" s="15" t="n">
        <x:f>'요금제'!D20</x:f>
        <x:v>9049.078181818182</x:v>
      </x:c>
      <x:c r="E48" s="15" t="n">
        <x:f>'요금제'!D20</x:f>
        <x:v>9049.078181818182</x:v>
      </x:c>
      <x:c r="F48" s="15" t="n">
        <x:f>'요금제'!D20</x:f>
        <x:v>9049.078181818182</x:v>
      </x:c>
      <x:c r="G48" s="15" t="n">
        <x:f>'요금제'!D20</x:f>
        <x:v>9049.078181818182</x:v>
      </x:c>
      <x:c r="H48" s="1"/>
      <x:c r="I48" s="1"/>
      <x:c r="J48" s="1"/>
      <x:c r="K48" s="1"/>
      <x:c r="L48" s="1"/>
      <x:c r="M48" s="1"/>
    </x:row>
    <x:row r="49" ht="23" customHeight="1">
      <x:c r="C49" s="1" t="str">
        <x:v>유료 1명 서비스 변동비</x:v>
      </x:c>
      <x:c r="D49" s="15" t="n">
        <x:f>'요금제'!D18*'가정'!D15*'가정'!D13+'요금제'!D19+'가정'!F55+'가정'!F59*'가정'!F57</x:f>
        <x:v>1757.9999999999998</x:v>
      </x:c>
      <x:c r="E49" s="15" t="n">
        <x:f>'요금제'!D18*'가정'!D15*'가정'!D13+'요금제'!D19+'가정'!F55+'가정'!F59*'가정'!F57</x:f>
        <x:v>1757.9999999999998</x:v>
      </x:c>
      <x:c r="F49" s="15" t="n">
        <x:f>'요금제'!D18*'가정'!D15*'가정'!D13+'요금제'!D19+'가정'!F55+'가정'!F59*'가정'!F57</x:f>
        <x:v>1757.9999999999998</x:v>
      </x:c>
      <x:c r="G49" s="15" t="n">
        <x:f>'요금제'!D18*'가정'!D15*'가정'!D13+'요금제'!D19+'가정'!F55+'가정'!F59*'가정'!F57</x:f>
        <x:v>1757.9999999999998</x:v>
      </x:c>
      <x:c r="H49" s="1"/>
      <x:c r="I49" s="1"/>
      <x:c r="J49" s="1"/>
      <x:c r="K49" s="1"/>
      <x:c r="L49" s="1"/>
      <x:c r="M49" s="1"/>
    </x:row>
    <x:row r="50" ht="23" customHeight="1">
      <x:c r="C50" s="1" t="str">
        <x:v>무료 1명 서비스 변동비</x:v>
      </x:c>
      <x:c r="D50" s="15" t="n">
        <x:f>'가정'!F60*'가정'!D14*'가정'!D13+'가정'!F56+'가정'!F54+'가정'!F58*'가정'!F57</x:f>
        <x:v>64.5</x:v>
      </x:c>
      <x:c r="E50" s="15" t="n">
        <x:f>'가정'!F60*'가정'!D14*'가정'!D13+'가정'!F56+'가정'!F54+'가정'!F58*'가정'!F57</x:f>
        <x:v>64.5</x:v>
      </x:c>
      <x:c r="F50" s="15" t="n">
        <x:f>'가정'!F60*'가정'!D14*'가정'!D13+'가정'!F56+'가정'!F54+'가정'!F58*'가정'!F57</x:f>
        <x:v>64.5</x:v>
      </x:c>
      <x:c r="G50" s="15" t="n">
        <x:f>'가정'!F60*'가정'!D14*'가정'!D13+'가정'!F56+'가정'!F54+'가정'!F58*'가정'!F57</x:f>
        <x:v>64.5</x:v>
      </x:c>
      <x:c r="H50" s="1"/>
      <x:c r="I50" s="1"/>
      <x:c r="J50" s="1"/>
      <x:c r="K50" s="1"/>
      <x:c r="L50" s="1"/>
      <x:c r="M50" s="1"/>
    </x:row>
    <x:row r="51" ht="23" customHeight="1">
      <x:c r="C51" s="1" t="str">
        <x:v>순수입 대비 서비스 공헌율</x:v>
      </x:c>
      <x:c r="D51" s="10" t="n">
        <x:f>(D18-D28)/D18</x:f>
        <x:v>0.7332877502540188</x:v>
      </x:c>
      <x:c r="E51" s="10" t="n">
        <x:f>(E18-E28)/E18</x:f>
        <x:v>0.7332877502540188</x:v>
      </x:c>
      <x:c r="F51" s="10" t="n">
        <x:f>(F18-F28)/F18</x:f>
        <x:v>0.7332877502540188</x:v>
      </x:c>
      <x:c r="G51" s="10" t="n">
        <x:f>(G18-G28)/G18</x:f>
        <x:v>0.7332877502540188</x:v>
      </x:c>
      <x:c r="H51" s="1"/>
      <x:c r="I51" s="1"/>
      <x:c r="J51" s="1"/>
      <x:c r="K51" s="1"/>
      <x:c r="L51" s="1"/>
      <x:c r="M51" s="1"/>
    </x:row>
    <x:row r="52" ht="23" customHeight="1">
      <x:c r="C52" s="1"/>
      <x:c r="D52" s="15"/>
      <x:c r="E52" s="15"/>
      <x:c r="F52" s="15"/>
      <x:c r="G52" s="15"/>
      <x:c r="H52" s="1"/>
      <x:c r="I52" s="1"/>
      <x:c r="J52" s="1"/>
      <x:c r="K52" s="1"/>
      <x:c r="L52" s="1"/>
      <x:c r="M52" s="1"/>
    </x:row>
    <x:row r="53" ht="23" customHeight="1">
      <x:c r="C53" s="19" t="str">
        <x:v>현금 BE 필요 유료 수</x:v>
      </x:c>
      <x:c r="D53" s="20" t="n">
        <x:f>IF((D48-D49+D50)-('가정'!D17*'가정'!D18*(1+'가정'!F46))&lt;=0,"분기 불가",ROUNDUP(MAX(((SUM(D30:D34)*(1+'가정'!F46)+D22*'가정'!D13+D8*D50)+('가정'!F45*(1+'가정'!F46)))/(D48-D49+D50),(SUM(D30:D34)*(1+'가정'!F46)+D22*'가정'!D13+D8*D50)/((D48-D49+D50)-('가정'!D17*'가정'!D18*(1+'가정'!F46)))),0))</x:f>
        <x:v>67</x:v>
      </x:c>
      <x:c r="E53" s="20" t="n">
        <x:f>IF((E48-E49+E50)-('가정'!D17*'가정'!D18*(1+'가정'!F46))&lt;=0,"분기 불가",ROUNDUP(MAX(((SUM(E30:E34)*(1+'가정'!F46)+E22*'가정'!D13+E8*E50)+('가정'!F45*(1+'가정'!F46)))/(E48-E49+E50),(SUM(E30:E34)*(1+'가정'!F46)+E22*'가정'!D13+E8*E50)/((E48-E49+E50)-('가정'!D17*'가정'!D18*(1+'가정'!F46)))),0))</x:f>
        <x:v>76</x:v>
      </x:c>
      <x:c r="F53" s="20" t="n">
        <x:f>IF((F48-F49+F50)-('가정'!D17*'가정'!D18*(1+'가정'!F46))&lt;=0,"분기 불가",ROUNDUP(MAX(((SUM(F30:F34)*(1+'가정'!F46)+F22*'가정'!D13+F8*F50)+('가정'!F45*(1+'가정'!F46)))/(F48-F49+F50),(SUM(F30:F34)*(1+'가정'!F46)+F22*'가정'!D13+F8*F50)/((F48-F49+F50)-('가정'!D17*'가정'!D18*(1+'가정'!F46)))),0))</x:f>
        <x:v>156</x:v>
      </x:c>
      <x:c r="G53" s="20" t="n">
        <x:f>IF((G48-G49+G50)-('가정'!D17*'가정'!D18*(1+'가정'!F46))&lt;=0,"분기 불가",ROUNDUP(MAX(((SUM(G30:G34)*(1+'가정'!F46)+G22*'가정'!D13+G8*G50)+('가정'!F45*(1+'가정'!F46)))/(G48-G49+G50),(SUM(G30:G34)*(1+'가정'!F46)+G22*'가정'!D13+G8*G50)/((G48-G49+G50)-('가정'!D17*'가정'!D18*(1+'가정'!F46)))),0))</x:f>
        <x:v>254</x:v>
      </x:c>
      <x:c r="H53" s="1"/>
      <x:c r="I53" s="1"/>
      <x:c r="J53" s="1"/>
      <x:c r="K53" s="1"/>
      <x:c r="L53" s="1"/>
      <x:c r="M53" s="1"/>
    </x:row>
    <x:row r="54" ht="23" customHeight="1">
      <x:c r="C54" s="19" t="str">
        <x:v>경제 BE 필요 유료 수</x:v>
      </x:c>
      <x:c r="D54" s="20" t="n">
        <x:f>IF((D48-D49+D50)-('가정'!D17*'가정'!D18*(1+'가정'!F46))&lt;=0,"분기 불가",ROUNDUP(MAX(((SUM(D30:D34)*(1+'가정'!F46)+D22*'가정'!D13+D8*D50)+('가정'!F45*(1+'가정'!F46))+D42+D43)/(D48-D49+D50),((SUM(D30:D34)*(1+'가정'!F46)+D22*'가정'!D13+D8*D50)+D42+D43)/((D48-D49+D50)-('가정'!D17*'가정'!D18*(1+'가정'!F46)))),0))</x:f>
        <x:v>296</x:v>
      </x:c>
      <x:c r="E54" s="20" t="n">
        <x:f>IF((E48-E49+E50)-('가정'!D17*'가정'!D18*(1+'가정'!F46))&lt;=0,"분기 불가",ROUNDUP(MAX(((SUM(E30:E34)*(1+'가정'!F46)+E22*'가정'!D13+E8*E50)+('가정'!F45*(1+'가정'!F46))+E42+E43)/(E48-E49+E50),((SUM(E30:E34)*(1+'가정'!F46)+E22*'가정'!D13+E8*E50)+E42+E43)/((E48-E49+E50)-('가정'!D17*'가정'!D18*(1+'가정'!F46)))),0))</x:f>
        <x:v>306</x:v>
      </x:c>
      <x:c r="F54" s="20" t="n">
        <x:f>IF((F48-F49+F50)-('가정'!D17*'가정'!D18*(1+'가정'!F46))&lt;=0,"분기 불가",ROUNDUP(MAX(((SUM(F30:F34)*(1+'가정'!F46)+F22*'가정'!D13+F8*F50)+('가정'!F45*(1+'가정'!F46))+F42+F43)/(F48-F49+F50),((SUM(F30:F34)*(1+'가정'!F46)+F22*'가정'!D13+F8*F50)+F42+F43)/((F48-F49+F50)-('가정'!D17*'가정'!D18*(1+'가정'!F46)))),0))</x:f>
        <x:v>393</x:v>
      </x:c>
      <x:c r="G54" s="20" t="n">
        <x:f>IF((G48-G49+G50)-('가정'!D17*'가정'!D18*(1+'가정'!F46))&lt;=0,"분기 불가",ROUNDUP(MAX(((SUM(G30:G34)*(1+'가정'!F46)+G22*'가정'!D13+G8*G50)+('가정'!F45*(1+'가정'!F46))+G42+G43)/(G48-G49+G50),((SUM(G30:G34)*(1+'가정'!F46)+G22*'가정'!D13+G8*G50)+G42+G43)/((G48-G49+G50)-('가정'!D17*'가정'!D18*(1+'가정'!F46)))),0))</x:f>
        <x:v>491</x:v>
      </x:c>
      <x:c r="H54" s="1"/>
      <x:c r="I54" s="1"/>
      <x:c r="J54" s="1"/>
      <x:c r="K54" s="1"/>
      <x:c r="L54" s="1"/>
      <x:c r="M54" s="1"/>
    </x:row>
    <x:row r="55" ht="23" customHeight="1">
      <x:c r="C55" s="1" t="str">
        <x:v>경제 BE 필요 유료 비율</x:v>
      </x:c>
      <x:c r="D55" s="10" t="n">
        <x:f>IF(ISNUMBER(D54),D54/D8,"분기 불가")</x:f>
        <x:v>2.96</x:v>
      </x:c>
      <x:c r="E55" s="10" t="n">
        <x:f>IF(ISNUMBER(E54),E54/E8,"분기 불가")</x:f>
        <x:v>0.306</x:v>
      </x:c>
      <x:c r="F55" s="10" t="n">
        <x:f>IF(ISNUMBER(F54),F54/F8,"분기 불가")</x:f>
        <x:v>0.0786</x:v>
      </x:c>
      <x:c r="G55" s="10" t="n">
        <x:f>IF(ISNUMBER(G54),G54/G8,"분기 불가")</x:f>
        <x:v>0.0491</x:v>
      </x:c>
      <x:c r="H55" s="1"/>
      <x:c r="I55" s="1"/>
      <x:c r="J55" s="1"/>
      <x:c r="K55" s="1"/>
      <x:c r="L55" s="1"/>
      <x:c r="M55" s="1"/>
    </x:row>
    <x:row r="56" ht="23" customHeight="1"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conditionalFormatting sqref="D40:G40">
    <x:cfRule type="cellIs" dxfId="0" priority="1" operator="lessThan">
      <x:formula>0</x:formula>
    </x:cfRule>
  </x:conditionalFormatting>
  <x:conditionalFormatting sqref="D44:G44">
    <x:cfRule type="cellIs" dxfId="1" priority="2" operator="lessThan">
      <x:formula>0</x:formula>
    </x:cfRule>
  </x:conditionalFormatting>
  <x:conditionalFormatting sqref="D46:G46">
    <x:cfRule type="cellIs" dxfId="2" priority="3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9" hidden="0" customWidth="1"/>
    <x:col min="5" max="5" width="19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2" ht="23" customHeight="1">
      <x:c r="C2" s="2" t="str">
        <x:v>Later 출시 요금제 권고안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C3" s="1" t="str">
        <x:v>월 가격은 세금 포함 계획값 · 분석 제공량은 성공한 신규 분석 기준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C4" s="1" t="str">
        <x:v>조건 선택</x:v>
      </x:c>
      <x:c r="D4" s="1" t="n">
        <x:f>'가정'!D4</x:f>
        <x:v>1</x:v>
      </x:c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C5" s="1" t="str">
        <x:v>무료: 100개/30일, 신규 분석 월5건 + 가입 최초1회20건 권고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38" customHeight="1">
      <x:c r="C7" s="9" t="str">
        <x:v>유료 상품</x:v>
      </x:c>
      <x:c r="D7" s="9" t="str">
        <x:v>월 가격 원</x:v>
      </x:c>
      <x:c r="E7" s="9" t="str">
        <x:v>보관 개수</x:v>
      </x:c>
      <x:c r="F7" s="9" t="str">
        <x:v>보관 일수</x:v>
      </x:c>
      <x:c r="G7" s="9" t="str">
        <x:v>월 분석</x:v>
      </x:c>
      <x:c r="H7" s="9" t="str">
        <x:v>유료 구성비</x:v>
      </x:c>
      <x:c r="I7" s="9" t="str">
        <x:v>저장 증분 원</x:v>
      </x:c>
      <x:c r="J7" s="9" t="str">
        <x:v>순수입 원</x:v>
      </x:c>
      <x:c r="K7" s="9" t="str">
        <x:v>최대 변동비</x:v>
      </x:c>
      <x:c r="L7" s="9" t="str">
        <x:v>최대 공헌이익</x:v>
      </x:c>
      <x:c r="M7" s="9" t="str">
        <x:v>공헌이익률</x:v>
      </x:c>
    </x:row>
    <x:row r="8" ht="23" customHeight="1">
      <x:c r="C8" s="1" t="str">
        <x:v>기간90일</x:v>
      </x:c>
      <x:c r="D8" s="14" t="n">
        <x:v>3990</x:v>
      </x:c>
      <x:c r="E8" s="16" t="n">
        <x:v>100</x:v>
      </x:c>
      <x:c r="F8" s="16" t="n">
        <x:v>90</x:v>
      </x:c>
      <x:c r="G8" s="14" t="n">
        <x:v>30</x:v>
      </x:c>
      <x:c r="H8" s="11" t="n">
        <x:v>0.15</x:v>
      </x:c>
      <x:c r="I8" s="14" t="n">
        <x:v>50</x:v>
      </x:c>
      <x:c r="J8" s="15" t="n">
        <x:f>D8/(1+'가정'!D11)*(1-'가정'!D9)*(1-'가정'!D10)-D8*'가정'!D12</x:f>
        <x:v>2950.786363636363</x:v>
      </x:c>
      <x:c r="K8" s="15" t="n">
        <x:f>G8*'가정'!D13+I8+'가정'!F55+'가정'!F57*'가정'!F59</x:f>
        <x:v>660</x:v>
      </x:c>
      <x:c r="L8" s="15" t="n">
        <x:f>J8-K8</x:f>
        <x:v>2290.786363636363</x:v>
      </x:c>
      <x:c r="M8" s="10" t="n">
        <x:f>L8/J8</x:f>
        <x:v>0.7763308085826119</x:v>
      </x:c>
    </x:row>
    <x:row r="9" ht="23" customHeight="1">
      <x:c r="C9" s="1" t="str">
        <x:v>기간180일</x:v>
      </x:c>
      <x:c r="D9" s="14" t="n">
        <x:v>4990</x:v>
      </x:c>
      <x:c r="E9" s="16" t="n">
        <x:v>100</x:v>
      </x:c>
      <x:c r="F9" s="16" t="n">
        <x:v>180</x:v>
      </x:c>
      <x:c r="G9" s="14" t="n">
        <x:v>50</x:v>
      </x:c>
      <x:c r="H9" s="11" t="n">
        <x:v>0.15</x:v>
      </x:c>
      <x:c r="I9" s="14" t="n">
        <x:v>50</x:v>
      </x:c>
      <x:c r="J9" s="15" t="n">
        <x:f>D9/(1+'가정'!D11)*(1-'가정'!D9)*(1-'가정'!D10)-D9*'가정'!D12</x:f>
        <x:v>3690.3318181818177</x:v>
      </x:c>
      <x:c r="K9" s="15" t="n">
        <x:f>G9*'가정'!D13+I9+'가정'!F55+'가정'!F57*'가정'!F59</x:f>
        <x:v>960</x:v>
      </x:c>
      <x:c r="L9" s="15" t="n">
        <x:f>J9-K9</x:f>
        <x:v>2730.3318181818177</x:v>
      </x:c>
      <x:c r="M9" s="10" t="n">
        <x:f>L9/J9</x:f>
        <x:v>0.739860791035051</x:v>
      </x:c>
    </x:row>
    <x:row r="10" ht="23" customHeight="1">
      <x:c r="C10" s="1" t="str">
        <x:v>개수300개</x:v>
      </x:c>
      <x:c r="D10" s="14" t="n">
        <x:v>9990</x:v>
      </x:c>
      <x:c r="E10" s="16" t="n">
        <x:v>300</x:v>
      </x:c>
      <x:c r="F10" s="16" t="n">
        <x:v>30</x:v>
      </x:c>
      <x:c r="G10" s="14" t="n">
        <x:v>300</x:v>
      </x:c>
      <x:c r="H10" s="11" t="n">
        <x:v>0.05</x:v>
      </x:c>
      <x:c r="I10" s="14" t="n">
        <x:v>50</x:v>
      </x:c>
      <x:c r="J10" s="15" t="n">
        <x:f>D10/(1+'가정'!D11)*(1-'가정'!D9)*(1-'가정'!D10)-D10*'가정'!D12</x:f>
        <x:v>7388.059090909091</x:v>
      </x:c>
      <x:c r="K10" s="15" t="n">
        <x:f>G10*'가정'!D13+I10+'가정'!F55+'가정'!F57*'가정'!F59</x:f>
        <x:v>4710</x:v>
      </x:c>
      <x:c r="L10" s="15" t="n">
        <x:f>J10-K10</x:f>
        <x:v>2678.0590909090906</x:v>
      </x:c>
      <x:c r="M10" s="10" t="n">
        <x:f>L10/J10</x:f>
        <x:v>0.3624847957976415</x:v>
      </x:c>
    </x:row>
    <x:row r="11" ht="23" customHeight="1">
      <x:c r="C11" s="1" t="str">
        <x:v>개수500개</x:v>
      </x:c>
      <x:c r="D11" s="14" t="n">
        <x:v>14990</x:v>
      </x:c>
      <x:c r="E11" s="16" t="n">
        <x:v>500</x:v>
      </x:c>
      <x:c r="F11" s="16" t="n">
        <x:v>30</x:v>
      </x:c>
      <x:c r="G11" s="14" t="n">
        <x:v>500</x:v>
      </x:c>
      <x:c r="H11" s="11" t="n">
        <x:v>0.05</x:v>
      </x:c>
      <x:c r="I11" s="14" t="n">
        <x:v>50</x:v>
      </x:c>
      <x:c r="J11" s="15" t="n">
        <x:f>D11/(1+'가정'!D11)*(1-'가정'!D9)*(1-'가정'!D10)-D11*'가정'!D12</x:f>
        <x:v>11085.786363636362</x:v>
      </x:c>
      <x:c r="K11" s="15" t="n">
        <x:f>G11*'가정'!D13+I11+'가정'!F55+'가정'!F57*'가정'!F59</x:f>
        <x:v>7710</x:v>
      </x:c>
      <x:c r="L11" s="15" t="n">
        <x:f>J11-K11</x:f>
        <x:v>3375.786363636362</x:v>
      </x:c>
      <x:c r="M11" s="10" t="n">
        <x:f>L11/J11</x:f>
        <x:v>0.30451483123557466</x:v>
      </x:c>
    </x:row>
    <x:row r="12" ht="23" customHeight="1">
      <x:c r="C12" s="1" t="str">
        <x:v>기본 묶음</x:v>
      </x:c>
      <x:c r="D12" s="14" t="n">
        <x:v>11900</x:v>
      </x:c>
      <x:c r="E12" s="16" t="n">
        <x:v>300</x:v>
      </x:c>
      <x:c r="F12" s="16" t="n">
        <x:v>90</x:v>
      </x:c>
      <x:c r="G12" s="14" t="n">
        <x:v>300</x:v>
      </x:c>
      <x:c r="H12" s="11" t="n">
        <x:v>0.35</x:v>
      </x:c>
      <x:c r="I12" s="14" t="n">
        <x:v>100</x:v>
      </x:c>
      <x:c r="J12" s="15" t="n">
        <x:f>D12/(1+'가정'!D11)*(1-'가정'!D9)*(1-'가정'!D10)-D12*'가정'!D12</x:f>
        <x:v>8800.59090909091</x:v>
      </x:c>
      <x:c r="K12" s="15" t="n">
        <x:f>G12*'가정'!D13+I12+'가정'!F55+'가정'!F57*'가정'!F59</x:f>
        <x:v>4760</x:v>
      </x:c>
      <x:c r="L12" s="15" t="n">
        <x:f>J12-K12</x:f>
        <x:v>4040.59090909091</x:v>
      </x:c>
      <x:c r="M12" s="10" t="n">
        <x:f>L12/J12</x:f>
        <x:v>0.4591272280270437</x:v>
      </x:c>
    </x:row>
    <x:row r="13" ht="23" customHeight="1">
      <x:c r="C13" s="1" t="str">
        <x:v>무제한 묶음</x:v>
      </x:c>
      <x:c r="D13" s="14" t="n">
        <x:v>21900</x:v>
      </x:c>
      <x:c r="E13" s="16" t="str">
        <x:v>무제한</x:v>
      </x:c>
      <x:c r="F13" s="16" t="str">
        <x:v>구독 중 무제한</x:v>
      </x:c>
      <x:c r="G13" s="14" t="n">
        <x:v>500</x:v>
      </x:c>
      <x:c r="H13" s="11" t="n">
        <x:v>0.25</x:v>
      </x:c>
      <x:c r="I13" s="14" t="n">
        <x:v>250</x:v>
      </x:c>
      <x:c r="J13" s="15" t="n">
        <x:f>D13/(1+'가정'!D11)*(1-'가정'!D9)*(1-'가정'!D10)-D13*'가정'!D12</x:f>
        <x:v>16196.045454545452</x:v>
      </x:c>
      <x:c r="K13" s="15" t="n">
        <x:f>G13*'가정'!D13+I13+'가정'!F55+'가정'!F57*'가정'!F59</x:f>
        <x:v>7910</x:v>
      </x:c>
      <x:c r="L13" s="15" t="n">
        <x:f>J13-K13</x:f>
        <x:v>8286.045454545452</x:v>
      </x:c>
      <x:c r="M13" s="10" t="n">
        <x:f>L13/J13</x:f>
        <x:v>0.511609175079214</x:v>
      </x:c>
    </x:row>
    <x:row r="14" ht="23" customHeight="1"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C16" s="1" t="str">
        <x:v>유료 상품 가중평균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C17" s="1" t="str">
        <x:v>평균 소비자 월 가격</x:v>
      </x:c>
      <x:c r="D17" s="15" t="n">
        <x:f>SUMPRODUCT(D8:D13,H8:H13)</x:f>
        <x:v>12236</x:v>
      </x:c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C18" s="1" t="str">
        <x:v>평균 월 분석 제공량</x:v>
      </x:c>
      <x:c r="D18" s="15" t="n">
        <x:f>SUMPRODUCT(G8:G13,H8:H13)</x:f>
        <x:v>282</x:v>
      </x:c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C19" s="1" t="str">
        <x:v>평균 저장 증분 원가</x:v>
      </x:c>
      <x:c r="D19" s="15" t="n">
        <x:f>SUMPRODUCT(I8:I13,H8:H13)</x:f>
        <x:v>117.5</x:v>
      </x:c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C20" s="1" t="str">
        <x:v>평균 순수입</x:v>
      </x:c>
      <x:c r="D20" s="15" t="n">
        <x:f>SUMPRODUCT(J8:J13,H8:H13)</x:f>
        <x:v>9049.078181818182</x:v>
      </x:c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C21" s="1" t="str">
        <x:v>상품 구성비 합계</x:v>
      </x:c>
      <x:c r="D21" s="10" t="n">
        <x:f>SUM(H8:H13)</x:f>
        <x:v>1</x:v>
      </x:c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5" customHeight="1">
      <x:c r="C24" s="1" t="str">
        <x:v>추가 분석권50건: 2,900원 권고 (주 손익에는 매출 미반영)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5" customHeight="1">
      <x:c r="C25" s="1" t="str">
        <x:v>개수+기간 단품 동시 구매는 포함 분석량 중 큰 값 적용 권고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5" customHeight="1">
      <x:c r="C26" s="1" t="str">
        <x:v>가입/갱신 취소/재가입으로 같은 주기 분석량을 재지급하지 않음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5" customHeight="1">
      <x:c r="C27" s="1" t="str">
        <x:v>공개 분석 재사용/검색/재시도는 신규 분석량 중복 차감 없음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CE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59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95" hidden="0" customWidth="1"/>
    <x:col min="13" max="13" width="16" hidden="0" customWidth="1"/>
  </x:cols>
  <x:sheetData>
    <x:row r="2" ht="23" customHeight="1">
      <x:c r="C2" s="2" t="str">
        <x:v>Later 월 손익 입력값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C3" s="1" t="str">
        <x:v>2026-10-06 확인 · 원화 · 공식 단가와 추정치 구분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C4" s="1" t="str">
        <x:v>조건 선택 (1~5)</x:v>
      </x:c>
      <x:c r="D4" s="4" t="n">
        <x:v>1</x:v>
      </x:c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38" customHeight="1">
      <x:c r="C7" s="9" t="str">
        <x:v>가정</x:v>
      </x:c>
      <x:c r="D7" s="9" t="str">
        <x:v>적용값</x:v>
      </x:c>
      <x:c r="E7" s="9" t="str">
        <x:v>1 보통 사용</x:v>
      </x:c>
      <x:c r="F7" s="9" t="str">
        <x:v>2 전량 사용</x:v>
      </x:c>
      <x:c r="G7" s="9" t="str">
        <x:v>3 비용 상승</x:v>
      </x:c>
      <x:c r="H7" s="9" t="str">
        <x:v>4 전환 3%</x:v>
      </x:c>
      <x:c r="I7" s="9" t="str">
        <x:v>5 수수료 30%</x:v>
      </x:c>
      <x:c r="J7" s="1"/>
      <x:c r="K7" s="1"/>
      <x:c r="L7" s="1"/>
      <x:c r="M7" s="1"/>
    </x:row>
    <x:row r="8" ht="23" customHeight="1">
      <x:c r="C8" s="1" t="str">
        <x:v>계획 환산율 원/USD</x:v>
      </x:c>
      <x:c r="D8" s="1" t="n">
        <x:f>CHOOSE($D$4,E8,F8,G8,H8,I8)</x:f>
        <x:v>1500</x:v>
      </x:c>
      <x:c r="E8" s="4" t="n">
        <x:v>1500</x:v>
      </x:c>
      <x:c r="F8" s="4" t="n">
        <x:v>1500</x:v>
      </x:c>
      <x:c r="G8" s="4" t="n">
        <x:v>1650</x:v>
      </x:c>
      <x:c r="H8" s="4" t="n">
        <x:v>1500</x:v>
      </x:c>
      <x:c r="I8" s="4" t="n">
        <x:v>1650</x:v>
      </x:c>
      <x:c r="J8" s="1"/>
      <x:c r="K8" s="1" t="str">
        <x:v>환율·사용률·원가·전환율은 측정값이 아닌 계획 가정</x:v>
      </x:c>
      <x:c r="L8" s="1"/>
      <x:c r="M8" s="1"/>
    </x:row>
    <x:row r="9" ht="23" customHeight="1">
      <x:c r="C9" s="1" t="str">
        <x:v>스토어 수수료</x:v>
      </x:c>
      <x:c r="D9" s="10" t="n">
        <x:f>CHOOSE($D$4,E9,F9,G9,H9,I9)</x:f>
        <x:v>0.15</x:v>
      </x:c>
      <x:c r="E9" s="11" t="n">
        <x:v>0.15</x:v>
      </x:c>
      <x:c r="F9" s="11" t="n">
        <x:v>0.15</x:v>
      </x:c>
      <x:c r="G9" s="11" t="n">
        <x:v>0.15</x:v>
      </x:c>
      <x:c r="H9" s="11" t="n">
        <x:v>0.15</x:v>
      </x:c>
      <x:c r="I9" s="11" t="n">
        <x:v>0.3</x:v>
      </x:c>
      <x:c r="J9" s="1"/>
      <x:c r="K9" s="1" t="str">
        <x:v>15%는 프로그램 자격에 따라 적용; 30% 조건도 비교</x:v>
      </x:c>
      <x:c r="L9" s="1"/>
      <x:c r="M9" s="1"/>
    </x:row>
    <x:row r="10" ht="23" customHeight="1">
      <x:c r="C10" s="1" t="str">
        <x:v>매출 환불률</x:v>
      </x:c>
      <x:c r="D10" s="10" t="n">
        <x:f>CHOOSE($D$4,E10,F10,G10,H10,I10)</x:f>
        <x:v>0.03</x:v>
      </x:c>
      <x:c r="E10" s="11" t="n">
        <x:v>0.03</x:v>
      </x:c>
      <x:c r="F10" s="11" t="n">
        <x:v>0.03</x:v>
      </x:c>
      <x:c r="G10" s="11" t="n">
        <x:v>0.05</x:v>
      </x:c>
      <x:c r="H10" s="11" t="n">
        <x:v>0.03</x:v>
      </x:c>
      <x:c r="I10" s="11" t="n">
        <x:v>0.05</x:v>
      </x:c>
      <x:c r="J10" s="1"/>
      <x:c r="K10" s="1" t="str">
        <x:v>환불액은 매출에서 차감; 분석비는 이미 발생한 것으로 계산</x:v>
      </x:c>
      <x:c r="L10" s="1"/>
      <x:c r="M10" s="1"/>
    </x:row>
    <x:row r="11" ht="23" customHeight="1">
      <x:c r="C11" s="1" t="str">
        <x:v>매출 세금 분리 가정</x:v>
      </x:c>
      <x:c r="D11" s="10" t="n">
        <x:f>CHOOSE($D$4,E11,F11,G11,H11,I11)</x:f>
        <x:v>0.1</x:v>
      </x:c>
      <x:c r="E11" s="11" t="n">
        <x:v>0.1</x:v>
      </x:c>
      <x:c r="F11" s="11" t="n">
        <x:v>0.1</x:v>
      </x:c>
      <x:c r="G11" s="11" t="n">
        <x:v>0.1</x:v>
      </x:c>
      <x:c r="H11" s="11" t="n">
        <x:v>0.1</x:v>
      </x:c>
      <x:c r="I11" s="11" t="n">
        <x:v>0.1</x:v>
      </x:c>
      <x:c r="J11" s="1"/>
      <x:c r="K11" s="1"/>
      <x:c r="L11" s="1"/>
      <x:c r="M11" s="1"/>
    </x:row>
    <x:row r="12" ht="23" customHeight="1">
      <x:c r="C12" s="1" t="str">
        <x:v>결제 손실 추가 예비율</x:v>
      </x:c>
      <x:c r="D12" s="10" t="n">
        <x:f>CHOOSE($D$4,E12,F12,G12,H12,I12)</x:f>
        <x:v>0.01</x:v>
      </x:c>
      <x:c r="E12" s="11" t="n">
        <x:v>0.01</x:v>
      </x:c>
      <x:c r="F12" s="11" t="n">
        <x:v>0.01</x:v>
      </x:c>
      <x:c r="G12" s="11" t="n">
        <x:v>0.01</x:v>
      </x:c>
      <x:c r="H12" s="11" t="n">
        <x:v>0.01</x:v>
      </x:c>
      <x:c r="I12" s="11" t="n">
        <x:v>0.01</x:v>
      </x:c>
      <x:c r="J12" s="1"/>
      <x:c r="K12" s="1"/>
      <x:c r="L12" s="1"/>
      <x:c r="M12" s="1"/>
    </x:row>
    <x:row r="13" ht="23" customHeight="1">
      <x:c r="C13" s="1" t="str">
        <x:v>분석 1건 총 변동비 원</x:v>
      </x:c>
      <x:c r="D13" s="1" t="n">
        <x:f>CHOOSE($D$4,E13,F13,G13,H13,I13)</x:f>
        <x:v>15</x:v>
      </x:c>
      <x:c r="E13" s="4" t="n">
        <x:v>15</x:v>
      </x:c>
      <x:c r="F13" s="4" t="n">
        <x:v>15</x:v>
      </x:c>
      <x:c r="G13" s="4" t="n">
        <x:v>25</x:v>
      </x:c>
      <x:c r="H13" s="4" t="n">
        <x:v>15</x:v>
      </x:c>
      <x:c r="I13" s="4" t="n">
        <x:v>25</x:v>
      </x:c>
      <x:c r="J13" s="1"/>
      <x:c r="K13" s="1" t="str">
        <x:v>15/25원에는 추출·AI·임베딩·재시도·장소 비용 포함</x:v>
      </x:c>
      <x:c r="L13" s="1"/>
      <x:c r="M13" s="1"/>
    </x:row>
    <x:row r="14" ht="23" customHeight="1">
      <x:c r="C14" s="1" t="str">
        <x:v>무료 월 분석량 사용률</x:v>
      </x:c>
      <x:c r="D14" s="10" t="n">
        <x:f>CHOOSE($D$4,E14,F14,G14,H14,I14)</x:f>
        <x:v>0.5</x:v>
      </x:c>
      <x:c r="E14" s="11" t="n">
        <x:v>0.5</x:v>
      </x:c>
      <x:c r="F14" s="11" t="n">
        <x:v>1</x:v>
      </x:c>
      <x:c r="G14" s="11" t="n">
        <x:v>1</x:v>
      </x:c>
      <x:c r="H14" s="11" t="n">
        <x:v>0.5</x:v>
      </x:c>
      <x:c r="I14" s="11" t="n">
        <x:v>1</x:v>
      </x:c>
      <x:c r="J14" s="1"/>
      <x:c r="K14" s="1"/>
      <x:c r="L14" s="1"/>
      <x:c r="M14" s="1"/>
    </x:row>
    <x:row r="15" ht="23" customHeight="1">
      <x:c r="C15" s="1" t="str">
        <x:v>유료 월 분석량 사용률</x:v>
      </x:c>
      <x:c r="D15" s="10" t="n">
        <x:f>CHOOSE($D$4,E15,F15,G15,H15,I15)</x:f>
        <x:v>0.35</x:v>
      </x:c>
      <x:c r="E15" s="11" t="n">
        <x:v>0.35</x:v>
      </x:c>
      <x:c r="F15" s="11" t="n">
        <x:v>1</x:v>
      </x:c>
      <x:c r="G15" s="11" t="n">
        <x:v>1</x:v>
      </x:c>
      <x:c r="H15" s="11" t="n">
        <x:v>0.35</x:v>
      </x:c>
      <x:c r="I15" s="11" t="n">
        <x:v>1</x:v>
      </x:c>
      <x:c r="J15" s="1"/>
      <x:c r="K15" s="1"/>
      <x:c r="L15" s="1"/>
      <x:c r="M15" s="1"/>
    </x:row>
    <x:row r="16" ht="23" customHeight="1">
      <x:c r="C16" s="1" t="str">
        <x:v>유료 전환율</x:v>
      </x:c>
      <x:c r="D16" s="10" t="n">
        <x:f>CHOOSE($D$4,E16,F16,G16,H16,I16)</x:f>
        <x:v>0.1</x:v>
      </x:c>
      <x:c r="E16" s="11" t="n">
        <x:v>0.1</x:v>
      </x:c>
      <x:c r="F16" s="11" t="n">
        <x:v>0.1</x:v>
      </x:c>
      <x:c r="G16" s="11" t="n">
        <x:v>0.1</x:v>
      </x:c>
      <x:c r="H16" s="11" t="n">
        <x:v>0.03</x:v>
      </x:c>
      <x:c r="I16" s="11" t="n">
        <x:v>0.1</x:v>
      </x:c>
      <x:c r="J16" s="1"/>
      <x:c r="K16" s="1"/>
      <x:c r="L16" s="1"/>
      <x:c r="M16" s="1"/>
    </x:row>
    <x:row r="17" ht="23" customHeight="1">
      <x:c r="C17" s="1" t="str">
        <x:v>유료 월 이탈률</x:v>
      </x:c>
      <x:c r="D17" s="10" t="n">
        <x:f>CHOOSE($D$4,E17,F17,G17,H17,I17)</x:f>
        <x:v>0.05</x:v>
      </x:c>
      <x:c r="E17" s="11" t="n">
        <x:v>0.05</x:v>
      </x:c>
      <x:c r="F17" s="11" t="n">
        <x:v>0.05</x:v>
      </x:c>
      <x:c r="G17" s="11" t="n">
        <x:v>0.08</x:v>
      </x:c>
      <x:c r="H17" s="11" t="n">
        <x:v>0.05</x:v>
      </x:c>
      <x:c r="I17" s="11" t="n">
        <x:v>0.08</x:v>
      </x:c>
      <x:c r="J17" s="1"/>
      <x:c r="K17" s="1"/>
      <x:c r="L17" s="1"/>
      <x:c r="M17" s="1"/>
    </x:row>
    <x:row r="18" ht="23" customHeight="1">
      <x:c r="C18" s="1" t="str">
        <x:v>유료 고객 확보비 원</x:v>
      </x:c>
      <x:c r="D18" s="1" t="n">
        <x:f>CHOOSE($D$4,E18,F18,G18,H18,I18)</x:f>
        <x:v>15000</x:v>
      </x:c>
      <x:c r="E18" s="4" t="n">
        <x:v>15000</x:v>
      </x:c>
      <x:c r="F18" s="4" t="n">
        <x:v>15000</x:v>
      </x:c>
      <x:c r="G18" s="4" t="n">
        <x:v>15000</x:v>
      </x:c>
      <x:c r="H18" s="4" t="n">
        <x:v>15000</x:v>
      </x:c>
      <x:c r="I18" s="4" t="n">
        <x:v>15000</x:v>
      </x:c>
      <x:c r="J18" s="1"/>
      <x:c r="K18" s="1"/>
      <x:c r="L18" s="1"/>
      <x:c r="M18" s="1"/>
    </x:row>
    <x:row r="19" ht="23" customHeight="1">
      <x:c r="C19" s="1" t="str">
        <x:v>월 신규 회원/활성 비율</x:v>
      </x:c>
      <x:c r="D19" s="10" t="n">
        <x:f>CHOOSE($D$4,E19,F19,G19,H19,I19)</x:f>
        <x:v>0.05</x:v>
      </x:c>
      <x:c r="E19" s="11" t="n">
        <x:v>0.05</x:v>
      </x:c>
      <x:c r="F19" s="11" t="n">
        <x:v>0.05</x:v>
      </x:c>
      <x:c r="G19" s="11" t="n">
        <x:v>0.05</x:v>
      </x:c>
      <x:c r="H19" s="11" t="n">
        <x:v>0.05</x:v>
      </x:c>
      <x:c r="I19" s="11" t="n">
        <x:v>0.05</x:v>
      </x:c>
      <x:c r="J19" s="1"/>
      <x:c r="K19" s="1"/>
      <x:c r="L19" s="1"/>
      <x:c r="M19" s="1"/>
    </x:row>
    <x:row r="20" ht="23" customHeight="1">
      <x:c r="C20" s="1" t="str">
        <x:v>신규 회원 첫 1회 분석 보너스</x:v>
      </x:c>
      <x:c r="D20" s="1" t="n">
        <x:f>CHOOSE($D$4,E20,F20,G20,H20,I20)</x:f>
        <x:v>20</x:v>
      </x:c>
      <x:c r="E20" s="4" t="n">
        <x:v>20</x:v>
      </x:c>
      <x:c r="F20" s="4" t="n">
        <x:v>20</x:v>
      </x:c>
      <x:c r="G20" s="4" t="n">
        <x:v>20</x:v>
      </x:c>
      <x:c r="H20" s="4" t="n">
        <x:v>20</x:v>
      </x:c>
      <x:c r="I20" s="4" t="n">
        <x:v>20</x:v>
      </x:c>
      <x:c r="J20" s="1"/>
      <x:c r="K20" s="1"/>
      <x:c r="L20" s="1"/>
      <x:c r="M20" s="1"/>
    </x:row>
    <x:row r="21" ht="23" customHeight="1">
      <x:c r="C21" s="1" t="str">
        <x:v>첫 보너스 사용률</x:v>
      </x:c>
      <x:c r="D21" s="10" t="n">
        <x:f>CHOOSE($D$4,E21,F21,G21,H21,I21)</x:f>
        <x:v>0.5</x:v>
      </x:c>
      <x:c r="E21" s="11" t="n">
        <x:v>0.5</x:v>
      </x:c>
      <x:c r="F21" s="11" t="n">
        <x:v>1</x:v>
      </x:c>
      <x:c r="G21" s="11" t="n">
        <x:v>1</x:v>
      </x:c>
      <x:c r="H21" s="11" t="n">
        <x:v>0.5</x:v>
      </x:c>
      <x:c r="I21" s="11" t="n">
        <x:v>1</x:v>
      </x:c>
      <x:c r="J21" s="1"/>
      <x:c r="K21" s="1"/>
      <x:c r="L21" s="1"/>
      <x:c r="M21" s="1"/>
    </x:row>
    <x:row r="22" ht="23" customHeight="1">
      <x:c r="C22" s="1" t="str">
        <x:v>인프라 규모 구간 활성 수</x:v>
      </x:c>
      <x:c r="D22" s="1" t="n">
        <x:f>CHOOSE($D$4,E22,F22,G22,H22,I22)</x:f>
        <x:v>2000</x:v>
      </x:c>
      <x:c r="E22" s="4" t="n">
        <x:v>2000</x:v>
      </x:c>
      <x:c r="F22" s="4" t="n">
        <x:v>2000</x:v>
      </x:c>
      <x:c r="G22" s="4" t="n">
        <x:v>2000</x:v>
      </x:c>
      <x:c r="H22" s="4" t="n">
        <x:v>2000</x:v>
      </x:c>
      <x:c r="I22" s="4" t="n">
        <x:v>2000</x:v>
      </x:c>
      <x:c r="J22" s="1"/>
      <x:c r="K22" s="1"/>
      <x:c r="L22" s="1"/>
      <x:c r="M22" s="1"/>
    </x:row>
    <x:row r="23" ht="23" customHeight="1">
      <x:c r="C23" s="1" t="str">
        <x:v>양수 경제손익 세금 예비율</x:v>
      </x:c>
      <x:c r="D23" s="10" t="n">
        <x:f>CHOOSE($D$4,E23,F23,G23,H23,I23)</x:f>
        <x:v>0.2</x:v>
      </x:c>
      <x:c r="E23" s="11" t="n">
        <x:v>0.2</x:v>
      </x:c>
      <x:c r="F23" s="11" t="n">
        <x:v>0.2</x:v>
      </x:c>
      <x:c r="G23" s="11" t="n">
        <x:v>0.2</x:v>
      </x:c>
      <x:c r="H23" s="11" t="n">
        <x:v>0.2</x:v>
      </x:c>
      <x:c r="I23" s="11" t="n">
        <x:v>0.2</x:v>
      </x:c>
      <x:c r="J23" s="1"/>
      <x:c r="K23" s="1"/>
      <x:c r="L23" s="1"/>
      <x:c r="M23" s="1"/>
    </x:row>
    <x:row r="24" ht="23" customHeight="1"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38" customHeight="1">
      <x:c r="C29" s="9" t="str">
        <x:v>고정비/공통 입력</x:v>
      </x:c>
      <x:c r="D29" s="9" t="str">
        <x:v>수량</x:v>
      </x:c>
      <x:c r="E29" s="9" t="str">
        <x:v>USD 단가</x:v>
      </x:c>
      <x:c r="F29" s="9" t="str">
        <x:v>원화 단가</x:v>
      </x:c>
      <x:c r="G29" s="9" t="str">
        <x:v>근거/성격</x:v>
      </x:c>
      <x:c r="H29" s="1"/>
      <x:c r="I29" s="1"/>
      <x:c r="J29" s="1"/>
      <x:c r="K29" s="1"/>
      <x:c r="L29" s="1"/>
      <x:c r="M29" s="1"/>
    </x:row>
    <x:row r="30" ht="23" customHeight="1">
      <x:c r="C30" s="1"/>
      <x:c r="D30" s="12"/>
      <x:c r="E30" s="12"/>
      <x:c r="F30" s="12"/>
      <x:c r="G30" s="1"/>
      <x:c r="H30" s="1"/>
      <x:c r="I30" s="1"/>
      <x:c r="J30" s="1"/>
      <x:c r="K30" s="1" t="str">
        <x:v>AWS VM</x:v>
      </x:c>
      <x:c r="L30" s="1" t="str">
        <x:v>https://aws.amazon.com/lightsail/pricing/</x:v>
      </x:c>
      <x:c r="M30" s="1"/>
    </x:row>
    <x:row r="31" ht="23" customHeight="1">
      <x:c r="C31" s="1" t="str">
        <x:v>API 2GB VM</x:v>
      </x:c>
      <x:c r="D31" s="13" t="n">
        <x:v>1</x:v>
      </x:c>
      <x:c r="E31" s="13" t="n">
        <x:v>12</x:v>
      </x:c>
      <x:c r="F31" s="13" t="n">
        <x:v>0</x:v>
      </x:c>
      <x:c r="G31" s="1" t="str">
        <x:v>AWS Lightsail 공식: Linux/IPv4</x:v>
      </x:c>
      <x:c r="H31" s="1"/>
      <x:c r="I31" s="1"/>
      <x:c r="J31" s="1"/>
      <x:c r="K31" s="1" t="str">
        <x:v>AI</x:v>
      </x:c>
      <x:c r="L31" s="1" t="str">
        <x:v>https://developers.openai.com/api/docs/models/gpt-4.1-mini</x:v>
      </x:c>
      <x:c r="M31" s="1"/>
    </x:row>
    <x:row r="32" ht="23" customHeight="1">
      <x:c r="C32" s="1" t="str">
        <x:v>작업 서버 2GB VM</x:v>
      </x:c>
      <x:c r="D32" s="13" t="n">
        <x:v>1</x:v>
      </x:c>
      <x:c r="E32" s="13" t="n">
        <x:v>12</x:v>
      </x:c>
      <x:c r="F32" s="13" t="n">
        <x:v>0</x:v>
      </x:c>
      <x:c r="G32" s="1" t="str">
        <x:v>AWS Lightsail 공식; 성능은 미검증</x:v>
      </x:c>
      <x:c r="H32" s="1"/>
      <x:c r="I32" s="1"/>
      <x:c r="J32" s="1"/>
      <x:c r="K32" s="1" t="str">
        <x:v>Embedding</x:v>
      </x:c>
      <x:c r="L32" s="1" t="str">
        <x:v>https://developers.openai.com/api/docs/models/text-embedding-3-small</x:v>
      </x:c>
      <x:c r="M32" s="1"/>
    </x:row>
    <x:row r="33" ht="23" customHeight="1">
      <x:c r="C33" s="1" t="str">
        <x:v>PostgreSQL 4GB VM</x:v>
      </x:c>
      <x:c r="D33" s="13" t="n">
        <x:v>1</x:v>
      </x:c>
      <x:c r="E33" s="13" t="n">
        <x:v>24</x:v>
      </x:c>
      <x:c r="F33" s="13" t="n">
        <x:v>0</x:v>
      </x:c>
      <x:c r="G33" s="1" t="str">
        <x:v>AWS VM 단가; 직접 관리/pgvector 가정</x:v>
      </x:c>
      <x:c r="H33" s="1"/>
      <x:c r="I33" s="1"/>
      <x:c r="J33" s="1"/>
      <x:c r="K33" s="1" t="str">
        <x:v>Firecrawl</x:v>
      </x:c>
      <x:c r="L33" s="1" t="str">
        <x:v>https://www.firecrawl.dev/pricing</x:v>
      </x:c>
      <x:c r="M33" s="1"/>
    </x:row>
    <x:row r="34" ht="23" customHeight="1">
      <x:c r="C34" s="1" t="str">
        <x:v>Redis 1GB VM</x:v>
      </x:c>
      <x:c r="D34" s="13" t="n">
        <x:v>1</x:v>
      </x:c>
      <x:c r="E34" s="13" t="n">
        <x:v>7</x:v>
      </x:c>
      <x:c r="F34" s="13" t="n">
        <x:v>0</x:v>
      </x:c>
      <x:c r="G34" s="1" t="str">
        <x:v>AWS VM 단가; 직접 관리 가정</x:v>
      </x:c>
      <x:c r="H34" s="1"/>
      <x:c r="I34" s="1"/>
      <x:c r="J34" s="1"/>
      <x:c r="K34" s="1" t="str">
        <x:v>R2</x:v>
      </x:c>
      <x:c r="L34" s="1" t="str">
        <x:v>https://developers.cloudflare.com/r2/pricing/</x:v>
      </x:c>
      <x:c r="M34" s="1"/>
    </x:row>
    <x:row r="35" ht="23" customHeight="1">
      <x:c r="C35" s="1" t="str">
        <x:v>추가 백업/객체 저장</x:v>
      </x:c>
      <x:c r="D35" s="13" t="n">
        <x:v>1</x:v>
      </x:c>
      <x:c r="E35" s="13" t="n">
        <x:v>0</x:v>
      </x:c>
      <x:c r="F35" s="13" t="n">
        <x:v>10000</x:v>
      </x:c>
      <x:c r="G35" s="1" t="str">
        <x:v>추정; R2 요청/복원 비용 여유</x:v>
      </x:c>
      <x:c r="H35" s="1"/>
      <x:c r="I35" s="1"/>
      <x:c r="J35" s="1"/>
      <x:c r="K35" s="1" t="str">
        <x:v>Resend</x:v>
      </x:c>
      <x:c r="L35" s="1" t="str">
        <x:v>https://resend.com/pricing</x:v>
      </x:c>
      <x:c r="M35" s="1"/>
    </x:row>
    <x:row r="36" ht="23" customHeight="1">
      <x:c r="C36" s="1" t="str">
        <x:v>추가 트래픽</x:v>
      </x:c>
      <x:c r="D36" s="13" t="n">
        <x:v>1</x:v>
      </x:c>
      <x:c r="E36" s="13" t="n">
        <x:v>0</x:v>
      </x:c>
      <x:c r="F36" s="13" t="n">
        <x:v>20000</x:v>
      </x:c>
      <x:c r="G36" s="1" t="str">
        <x:v>추정; VM 포함분 외 여유</x:v>
      </x:c>
      <x:c r="H36" s="1"/>
      <x:c r="I36" s="1"/>
      <x:c r="J36" s="1"/>
      <x:c r="K36" s="1" t="str">
        <x:v>Apple membership</x:v>
      </x:c>
      <x:c r="L36" s="1" t="str">
        <x:v>https://developer.apple.com/programs/</x:v>
      </x:c>
      <x:c r="M36" s="1"/>
    </x:row>
    <x:row r="37" ht="23" customHeight="1">
      <x:c r="C37" s="1" t="str">
        <x:v>관측/보안 도구</x:v>
      </x:c>
      <x:c r="D37" s="13" t="n">
        <x:v>1</x:v>
      </x:c>
      <x:c r="E37" s="13" t="n">
        <x:v>0</x:v>
      </x:c>
      <x:c r="F37" s="13" t="n">
        <x:v>15000</x:v>
      </x:c>
      <x:c r="G37" s="1" t="str">
        <x:v>추정; 소규모 로그 보존</x:v>
      </x:c>
      <x:c r="H37" s="1"/>
      <x:c r="I37" s="1"/>
      <x:c r="J37" s="1"/>
      <x:c r="K37" s="1" t="str">
        <x:v>Play registration</x:v>
      </x:c>
      <x:c r="L37" s="1" t="str">
        <x:v>https://support.google.com/googleplay/android-developer/answer/6112435?hl=en</x:v>
      </x:c>
      <x:c r="M37" s="1"/>
    </x:row>
    <x:row r="38" ht="23" customHeight="1">
      <x:c r="C38" s="1" t="str">
        <x:v>이메일 서비스</x:v>
      </x:c>
      <x:c r="D38" s="13" t="n">
        <x:v>1</x:v>
      </x:c>
      <x:c r="E38" s="13" t="n">
        <x:v>20</x:v>
      </x:c>
      <x:c r="F38" s="13" t="n">
        <x:v>0</x:v>
      </x:c>
      <x:c r="G38" s="1" t="str">
        <x:v>Resend Pro 월 단가 예시</x:v>
      </x:c>
      <x:c r="H38" s="1"/>
      <x:c r="I38" s="1"/>
      <x:c r="J38" s="1"/>
      <x:c r="K38" s="1" t="str">
        <x:v>Google fee</x:v>
      </x:c>
      <x:c r="L38" s="1" t="str">
        <x:v>https://support.google.com/googleplay/android-developer/answer/112622?hl=en</x:v>
      </x:c>
      <x:c r="M38" s="1"/>
    </x:row>
    <x:row r="39" ht="23" customHeight="1">
      <x:c r="C39" s="1" t="str">
        <x:v>모바일 빌드/CI</x:v>
      </x:c>
      <x:c r="D39" s="13" t="n">
        <x:v>1</x:v>
      </x:c>
      <x:c r="E39" s="13" t="n">
        <x:v>19</x:v>
      </x:c>
      <x:c r="F39" s="13" t="n">
        <x:v>10000</x:v>
      </x:c>
      <x:c r="G39" s="1" t="str">
        <x:v>Expo Starter 공식+CI 추가 여유 추정</x:v>
      </x:c>
      <x:c r="H39" s="1"/>
      <x:c r="I39" s="1"/>
      <x:c r="J39" s="1"/>
      <x:c r="K39" s="1" t="str">
        <x:v>Apple fee</x:v>
      </x:c>
      <x:c r="L39" s="1" t="str">
        <x:v>https://developer.apple.com/help/account/membership/programs-overview</x:v>
      </x:c>
      <x:c r="M39" s="1"/>
    </x:row>
    <x:row r="40" ht="23" customHeight="1">
      <x:c r="C40" s="1" t="str">
        <x:v>도메인/DNS</x:v>
      </x:c>
      <x:c r="D40" s="13" t="n">
        <x:v>1</x:v>
      </x:c>
      <x:c r="E40" s="13" t="n">
        <x:v>0</x:v>
      </x:c>
      <x:c r="F40" s="13" t="n">
        <x:v>2500</x:v>
      </x:c>
      <x:c r="G40" s="1" t="str">
        <x:v>도메인 연 30,000원 분할 가정</x:v>
      </x:c>
      <x:c r="H40" s="1"/>
      <x:c r="I40" s="1"/>
      <x:c r="J40" s="1"/>
      <x:c r="K40" s="1" t="str">
        <x:v>Naver place</x:v>
      </x:c>
      <x:c r="L40" s="1" t="str">
        <x:v>https://developers.naver.com/docs/serviceapi/search/local/local.md</x:v>
      </x:c>
      <x:c r="M40" s="1"/>
    </x:row>
    <x:row r="41" ht="23" customHeight="1">
      <x:c r="C41" s="1" t="str">
        <x:v>Apple 연간 계정 월 환산</x:v>
      </x:c>
      <x:c r="D41" s="13" t="n">
        <x:v>0.08333333333333333</x:v>
      </x:c>
      <x:c r="E41" s="13" t="n">
        <x:v>99</x:v>
      </x:c>
      <x:c r="F41" s="13" t="n">
        <x:v>0</x:v>
      </x:c>
      <x:c r="G41" s="1" t="str">
        <x:v>Apple Developer 공식 연 USD99</x:v>
      </x:c>
      <x:c r="H41" s="1"/>
      <x:c r="I41" s="1"/>
      <x:c r="J41" s="1"/>
      <x:c r="K41" s="1" t="str">
        <x:v>Push</x:v>
      </x:c>
      <x:c r="L41" s="1" t="str">
        <x:v>https://firebase.google.com/pricing</x:v>
      </x:c>
      <x:c r="M41" s="1"/>
    </x:row>
    <x:row r="42" ht="23" customHeight="1">
      <x:c r="C42" s="1" t="str">
        <x:v>회계/세무</x:v>
      </x:c>
      <x:c r="D42" s="13" t="n">
        <x:v>1</x:v>
      </x:c>
      <x:c r="E42" s="13" t="n">
        <x:v>0</x:v>
      </x:c>
      <x:c r="F42" s="13" t="n">
        <x:v>80000</x:v>
      </x:c>
      <x:c r="G42" s="1" t="str">
        <x:v>추정; 견적 필요</x:v>
      </x:c>
      <x:c r="H42" s="1"/>
      <x:c r="I42" s="1"/>
      <x:c r="J42" s="1"/>
      <x:c r="K42" s="1"/>
      <x:c r="L42" s="1"/>
      <x:c r="M42" s="1"/>
    </x:row>
    <x:row r="43" ht="23" customHeight="1">
      <x:c r="C43" s="1" t="str">
        <x:v>약관/개인정보 유지</x:v>
      </x:c>
      <x:c r="D43" s="13" t="n">
        <x:v>1</x:v>
      </x:c>
      <x:c r="E43" s="13" t="n">
        <x:v>0</x:v>
      </x:c>
      <x:c r="F43" s="13" t="n">
        <x:v>20000</x:v>
      </x:c>
      <x:c r="G43" s="1" t="str">
        <x:v>추정; 견적 필요</x:v>
      </x:c>
      <x:c r="H43" s="1"/>
      <x:c r="I43" s="1"/>
      <x:c r="J43" s="1"/>
      <x:c r="K43" s="1"/>
      <x:c r="L43" s="1"/>
      <x:c r="M43" s="1"/>
    </x:row>
    <x:row r="44" ht="23" customHeight="1">
      <x:c r="C44" s="1" t="str">
        <x:v>유료 크롤러 최소 구독</x:v>
      </x:c>
      <x:c r="D44" s="13" t="n">
        <x:v>1</x:v>
      </x:c>
      <x:c r="E44" s="13" t="n">
        <x:v>19</x:v>
      </x:c>
      <x:c r="F44" s="13" t="n">
        <x:v>0</x:v>
      </x:c>
      <x:c r="G44" s="1" t="str">
        <x:v>Firecrawl Hobby 공식 월 USD19</x:v>
      </x:c>
      <x:c r="H44" s="1"/>
      <x:c r="I44" s="1"/>
      <x:c r="J44" s="1"/>
      <x:c r="K44" s="1"/>
      <x:c r="L44" s="1"/>
      <x:c r="M44" s="1"/>
    </x:row>
    <x:row r="45" ht="23" customHeight="1">
      <x:c r="C45" s="1" t="str">
        <x:v>마케팅 최소 월 예산</x:v>
      </x:c>
      <x:c r="D45" s="13" t="n">
        <x:v>1</x:v>
      </x:c>
      <x:c r="E45" s="13" t="n">
        <x:v>0</x:v>
      </x:c>
      <x:c r="F45" s="13" t="n">
        <x:v>100000</x:v>
      </x:c>
      <x:c r="G45" s="1" t="str">
        <x:v>추정; 이탈 보충 확보비와 큰 값 적용</x:v>
      </x:c>
      <x:c r="H45" s="1"/>
      <x:c r="I45" s="1"/>
      <x:c r="J45" s="1"/>
      <x:c r="K45" s="1"/>
      <x:c r="L45" s="1"/>
      <x:c r="M45" s="1"/>
    </x:row>
    <x:row r="46" ht="23" customHeight="1">
      <x:c r="C46" s="1" t="str">
        <x:v>현금 비용 예비율</x:v>
      </x:c>
      <x:c r="D46" s="13" t="n">
        <x:v>1</x:v>
      </x:c>
      <x:c r="E46" s="13" t="n">
        <x:v>0</x:v>
      </x:c>
      <x:c r="F46" s="13" t="n">
        <x:v>0.1</x:v>
      </x:c>
      <x:c r="G46" s="1" t="str">
        <x:v>계획 예비비; 실제 비용과 구분</x:v>
      </x:c>
      <x:c r="H46" s="1"/>
      <x:c r="I46" s="1"/>
      <x:c r="J46" s="1"/>
      <x:c r="K46" s="1"/>
      <x:c r="L46" s="1"/>
      <x:c r="M46" s="1"/>
    </x:row>
    <x:row r="47" ht="23" customHeight="1">
      <x:c r="C47" s="1" t="str">
        <x:v>개발/운영 유지 시간 월</x:v>
      </x:c>
      <x:c r="D47" s="13" t="n">
        <x:v>1</x:v>
      </x:c>
      <x:c r="E47" s="13" t="n">
        <x:v>0</x:v>
      </x:c>
      <x:c r="F47" s="13" t="n">
        <x:v>40</x:v>
      </x:c>
      <x:c r="G47" s="1" t="str">
        <x:v>시간 가정; 별도 고객응대 제외</x:v>
      </x:c>
      <x:c r="H47" s="1"/>
      <x:c r="I47" s="1"/>
      <x:c r="J47" s="1"/>
      <x:c r="K47" s="1"/>
      <x:c r="L47" s="1"/>
      <x:c r="M47" s="1"/>
    </x:row>
    <x:row r="48" ht="23" customHeight="1">
      <x:c r="C48" s="1" t="str">
        <x:v>노동시간 원/시간</x:v>
      </x:c>
      <x:c r="D48" s="13" t="n">
        <x:v>1</x:v>
      </x:c>
      <x:c r="E48" s="13" t="n">
        <x:v>0</x:v>
      </x:c>
      <x:c r="F48" s="13" t="n">
        <x:v>30000</x:v>
      </x:c>
      <x:c r="G48" s="1" t="str">
        <x:v>추정; 창업자 기회비용</x:v>
      </x:c>
      <x:c r="H48" s="1"/>
      <x:c r="I48" s="1"/>
      <x:c r="J48" s="1"/>
      <x:c r="K48" s="1"/>
      <x:c r="L48" s="1"/>
      <x:c r="M48" s="1"/>
    </x:row>
    <x:row r="49" ht="23" customHeight="1">
      <x:c r="C49" s="1" t="str">
        <x:v>초기 제품 구축 시간</x:v>
      </x:c>
      <x:c r="D49" s="13" t="n">
        <x:v>1</x:v>
      </x:c>
      <x:c r="E49" s="13" t="n">
        <x:v>0</x:v>
      </x:c>
      <x:c r="F49" s="13" t="n">
        <x:v>200</x:v>
      </x:c>
      <x:c r="G49" s="1" t="str">
        <x:v>시간 가정; 현재까지 실제 시간 아님</x:v>
      </x:c>
      <x:c r="H49" s="1"/>
      <x:c r="I49" s="1"/>
      <x:c r="J49" s="1"/>
      <x:c r="K49" s="1"/>
      <x:c r="L49" s="1"/>
      <x:c r="M49" s="1"/>
    </x:row>
    <x:row r="50" ht="23" customHeight="1">
      <x:c r="C50" s="1" t="str">
        <x:v>초기 법무/문서 정비</x:v>
      </x:c>
      <x:c r="D50" s="13" t="n">
        <x:v>1</x:v>
      </x:c>
      <x:c r="E50" s="13" t="n">
        <x:v>0</x:v>
      </x:c>
      <x:c r="F50" s="13" t="n">
        <x:v>300000</x:v>
      </x:c>
      <x:c r="G50" s="1" t="str">
        <x:v>추정; 견적 필요</x:v>
      </x:c>
      <x:c r="H50" s="1"/>
      <x:c r="I50" s="1"/>
      <x:c r="J50" s="1"/>
      <x:c r="K50" s="1"/>
      <x:c r="L50" s="1"/>
      <x:c r="M50" s="1"/>
    </x:row>
    <x:row r="51" ht="23" customHeight="1">
      <x:c r="C51" s="1" t="str">
        <x:v>개발/테스트 기기</x:v>
      </x:c>
      <x:c r="D51" s="13" t="n">
        <x:v>1</x:v>
      </x:c>
      <x:c r="E51" s="13" t="n">
        <x:v>0</x:v>
      </x:c>
      <x:c r="F51" s="13" t="n">
        <x:v>2000000</x:v>
      </x:c>
      <x:c r="G51" s="1" t="str">
        <x:v>추정; 기존 장비 보유 시 감액</x:v>
      </x:c>
      <x:c r="H51" s="1"/>
      <x:c r="I51" s="1"/>
      <x:c r="J51" s="1"/>
      <x:c r="K51" s="1"/>
      <x:c r="L51" s="1"/>
      <x:c r="M51" s="1"/>
    </x:row>
    <x:row r="52" ht="23" customHeight="1">
      <x:c r="C52" s="1" t="str">
        <x:v>Google Play 등록 1회</x:v>
      </x:c>
      <x:c r="D52" s="13" t="n">
        <x:v>1</x:v>
      </x:c>
      <x:c r="E52" s="13" t="n">
        <x:v>25</x:v>
      </x:c>
      <x:c r="F52" s="13" t="n">
        <x:v>0</x:v>
      </x:c>
      <x:c r="G52" s="1" t="str">
        <x:v>Play Console 공식 1회 USD25</x:v>
      </x:c>
      <x:c r="H52" s="1"/>
      <x:c r="I52" s="1"/>
      <x:c r="J52" s="1"/>
      <x:c r="K52" s="1"/>
      <x:c r="L52" s="1"/>
      <x:c r="M52" s="1"/>
    </x:row>
    <x:row r="53" ht="23" customHeight="1">
      <x:c r="C53" s="1" t="str">
        <x:v>초기 비용 회수 개월</x:v>
      </x:c>
      <x:c r="D53" s="13" t="n">
        <x:v>1</x:v>
      </x:c>
      <x:c r="E53" s="13" t="n">
        <x:v>0</x:v>
      </x:c>
      <x:c r="F53" s="13" t="n">
        <x:v>24</x:v>
      </x:c>
      <x:c r="G53" s="1" t="str">
        <x:v>경제손익용; 법정 회계 상각 아님</x:v>
      </x:c>
      <x:c r="H53" s="1"/>
      <x:c r="I53" s="1"/>
      <x:c r="J53" s="1"/>
      <x:c r="K53" s="1"/>
      <x:c r="L53" s="1"/>
      <x:c r="M53" s="1"/>
    </x:row>
    <x:row r="54" ht="23" customHeight="1">
      <x:c r="C54" s="1" t="str">
        <x:v>무료 회원 응대 원/월</x:v>
      </x:c>
      <x:c r="D54" s="13" t="n">
        <x:v>1</x:v>
      </x:c>
      <x:c r="E54" s="13" t="n">
        <x:v>0</x:v>
      </x:c>
      <x:c r="F54" s="13" t="n">
        <x:v>5</x:v>
      </x:c>
      <x:c r="G54" s="1" t="str">
        <x:v>소규모 발생률 기반 외주 예산</x:v>
      </x:c>
      <x:c r="H54" s="1"/>
      <x:c r="I54" s="1"/>
      <x:c r="J54" s="1"/>
      <x:c r="K54" s="1"/>
      <x:c r="L54" s="1"/>
      <x:c r="M54" s="1"/>
    </x:row>
    <x:row r="55" ht="23" customHeight="1">
      <x:c r="C55" s="1" t="str">
        <x:v>유료 회원 응대 원/월</x:v>
      </x:c>
      <x:c r="D55" s="13" t="n">
        <x:v>1</x:v>
      </x:c>
      <x:c r="E55" s="13" t="n">
        <x:v>0</x:v>
      </x:c>
      <x:c r="F55" s="13" t="n">
        <x:v>150</x:v>
      </x:c>
      <x:c r="G55" s="1" t="str">
        <x:v>건당 비용×발생률 가정</x:v>
      </x:c>
      <x:c r="H55" s="1"/>
      <x:c r="I55" s="1"/>
      <x:c r="J55" s="1"/>
      <x:c r="K55" s="1"/>
      <x:c r="L55" s="1"/>
      <x:c r="M55" s="1"/>
    </x:row>
    <x:row r="56" ht="23" customHeight="1">
      <x:c r="C56" s="1" t="str">
        <x:v>무료 조회/저장 증분 원/월</x:v>
      </x:c>
      <x:c r="D56" s="13" t="n">
        <x:v>1</x:v>
      </x:c>
      <x:c r="E56" s="13" t="n">
        <x:v>0</x:v>
      </x:c>
      <x:c r="F56" s="13" t="n">
        <x:v>20</x:v>
      </x:c>
      <x:c r="G56" s="1" t="str">
        <x:v>추정; 고정 서버 외 저장/전송 여유</x:v>
      </x:c>
      <x:c r="H56" s="1"/>
      <x:c r="I56" s="1"/>
      <x:c r="J56" s="1"/>
      <x:c r="K56" s="1"/>
      <x:c r="L56" s="1"/>
      <x:c r="M56" s="1"/>
    </x:row>
    <x:row r="57" ht="23" customHeight="1">
      <x:c r="C57" s="1" t="str">
        <x:v>검색 임베딩 원/질의</x:v>
      </x:c>
      <x:c r="D57" s="13" t="n">
        <x:v>1</x:v>
      </x:c>
      <x:c r="E57" s="13" t="n">
        <x:v>0</x:v>
      </x:c>
      <x:c r="F57" s="13" t="n">
        <x:v>0.01</x:v>
      </x:c>
      <x:c r="G57" s="1" t="str">
        <x:v>공식 임베딩 단가 기반 올린 예산</x:v>
      </x:c>
      <x:c r="H57" s="1"/>
      <x:c r="I57" s="1"/>
      <x:c r="J57" s="1"/>
      <x:c r="K57" s="1"/>
      <x:c r="L57" s="1"/>
      <x:c r="M57" s="1"/>
    </x:row>
    <x:row r="58" ht="23" customHeight="1">
      <x:c r="C58" s="1" t="str">
        <x:v>무료 검색 질의 월</x:v>
      </x:c>
      <x:c r="D58" s="13" t="n">
        <x:v>1</x:v>
      </x:c>
      <x:c r="E58" s="13" t="n">
        <x:v>0</x:v>
      </x:c>
      <x:c r="F58" s="13" t="n">
        <x:v>200</x:v>
      </x:c>
      <x:c r="G58" s="1" t="str">
        <x:v>손익 사용량 가정; 상품 제한 아님</x:v>
      </x:c>
      <x:c r="H58" s="1"/>
      <x:c r="I58" s="1"/>
      <x:c r="J58" s="1"/>
      <x:c r="K58" s="1"/>
      <x:c r="L58" s="1"/>
      <x:c r="M58" s="1"/>
    </x:row>
    <x:row r="59" ht="23" customHeight="1">
      <x:c r="C59" s="1" t="str">
        <x:v>유료 검색 질의 월</x:v>
      </x:c>
      <x:c r="D59" s="13" t="n">
        <x:v>1</x:v>
      </x:c>
      <x:c r="E59" s="13" t="n">
        <x:v>0</x:v>
      </x:c>
      <x:c r="F59" s="13" t="n">
        <x:v>1000</x:v>
      </x:c>
      <x:c r="G59" s="1" t="str">
        <x:v>손익 사용량 가정; 상품 제한 아님</x:v>
      </x:c>
      <x:c r="H59" s="1"/>
      <x:c r="I59" s="1"/>
      <x:c r="J59" s="1"/>
      <x:c r="K59" s="1"/>
      <x:c r="L59" s="1"/>
      <x:c r="M59" s="1"/>
    </x:row>
    <x:row r="60" ht="23" customHeight="1">
      <x:c r="C60" s="1" t="str">
        <x:v>무료 월 신규 분석 제공량</x:v>
      </x:c>
      <x:c r="D60" s="13" t="n">
        <x:v>1</x:v>
      </x:c>
      <x:c r="E60" s="13" t="n">
        <x:v>0</x:v>
      </x:c>
      <x:c r="F60" s="13" t="n">
        <x:v>5</x:v>
      </x:c>
      <x:c r="G60" s="1" t="str">
        <x:v>이번 출시 권고안</x:v>
      </x:c>
      <x:c r="H60" s="1"/>
      <x:c r="I60" s="1"/>
      <x:c r="J60" s="1"/>
      <x:c r="K60" s="1"/>
      <x:c r="L60" s="1"/>
      <x:c r="M60" s="1"/>
    </x:row>
    <x:row r="61" ht="23" customHeight="1">
      <x:c r="C61" s="1"/>
      <x:c r="D61" s="12"/>
      <x:c r="E61" s="12"/>
      <x:c r="F61" s="12"/>
      <x:c r="G61" s="1"/>
      <x:c r="H61" s="1"/>
      <x:c r="I61" s="1"/>
      <x:c r="J61" s="1"/>
      <x:c r="K61" s="1"/>
      <x:c r="L61" s="1"/>
      <x:c r="M61" s="1"/>
    </x:row>
    <x:row r="62" ht="23" customHeight="1">
      <x:c r="C62" s="1" t="str">
        <x:v>분석 입력 토큰</x:v>
      </x:c>
      <x:c r="D62" s="13" t="n">
        <x:v>1</x:v>
      </x:c>
      <x:c r="E62" s="13" t="n">
        <x:v>0</x:v>
      </x:c>
      <x:c r="F62" s="13" t="n">
        <x:v>6000</x:v>
      </x:c>
      <x:c r="G62" s="1" t="str">
        <x:v>본문/프롬프트 길이 가정</x:v>
      </x:c>
      <x:c r="H62" s="1"/>
      <x:c r="I62" s="1"/>
      <x:c r="J62" s="1"/>
      <x:c r="K62" s="1"/>
      <x:c r="L62" s="1"/>
      <x:c r="M62" s="1"/>
    </x:row>
    <x:row r="63" ht="23" customHeight="1">
      <x:c r="C63" s="1" t="str">
        <x:v>분석 출력 토큰</x:v>
      </x:c>
      <x:c r="D63" s="13" t="n">
        <x:v>1</x:v>
      </x:c>
      <x:c r="E63" s="13" t="n">
        <x:v>0</x:v>
      </x:c>
      <x:c r="F63" s="13" t="n">
        <x:v>800</x:v>
      </x:c>
      <x:c r="G63" s="1" t="str">
        <x:v>출력 길이 가정</x:v>
      </x:c>
      <x:c r="H63" s="1"/>
      <x:c r="I63" s="1"/>
      <x:c r="J63" s="1"/>
      <x:c r="K63" s="1"/>
      <x:c r="L63" s="1"/>
      <x:c r="M63" s="1"/>
    </x:row>
    <x:row r="64" ht="23" customHeight="1">
      <x:c r="C64" s="1" t="str">
        <x:v>콘텐츠 임베딩 토큰</x:v>
      </x:c>
      <x:c r="D64" s="13" t="n">
        <x:v>1</x:v>
      </x:c>
      <x:c r="E64" s="13" t="n">
        <x:v>0</x:v>
      </x:c>
      <x:c r="F64" s="13" t="n">
        <x:v>1500</x:v>
      </x:c>
      <x:c r="G64" s="1" t="str">
        <x:v>검색 텍스트 길이 가정</x:v>
      </x:c>
      <x:c r="H64" s="1"/>
      <x:c r="I64" s="1"/>
      <x:c r="J64" s="1"/>
      <x:c r="K64" s="1"/>
      <x:c r="L64" s="1"/>
      <x:c r="M64" s="1"/>
    </x:row>
    <x:row r="65" ht="23" customHeight="1">
      <x:c r="C65" s="1" t="str">
        <x:v>AI 입력 USD/백만 토큰</x:v>
      </x:c>
      <x:c r="D65" s="13" t="n">
        <x:v>1</x:v>
      </x:c>
      <x:c r="E65" s="13" t="n">
        <x:v>0.4</x:v>
      </x:c>
      <x:c r="F65" s="13" t="n">
        <x:v>0</x:v>
      </x:c>
      <x:c r="G65" s="1" t="str">
        <x:v>GPT-4.1 mini 공식</x:v>
      </x:c>
      <x:c r="H65" s="1"/>
      <x:c r="I65" s="1"/>
      <x:c r="J65" s="1"/>
      <x:c r="K65" s="1"/>
      <x:c r="L65" s="1"/>
      <x:c r="M65" s="1"/>
    </x:row>
    <x:row r="66" ht="23" customHeight="1">
      <x:c r="C66" s="1" t="str">
        <x:v>AI 출력 USD/백만 토큰</x:v>
      </x:c>
      <x:c r="D66" s="13" t="n">
        <x:v>1</x:v>
      </x:c>
      <x:c r="E66" s="13" t="n">
        <x:v>1.6</x:v>
      </x:c>
      <x:c r="F66" s="13" t="n">
        <x:v>0</x:v>
      </x:c>
      <x:c r="G66" s="1" t="str">
        <x:v>GPT-4.1 mini 공식</x:v>
      </x:c>
      <x:c r="H66" s="1"/>
      <x:c r="I66" s="1"/>
      <x:c r="J66" s="1"/>
      <x:c r="K66" s="1"/>
      <x:c r="L66" s="1"/>
      <x:c r="M66" s="1"/>
    </x:row>
    <x:row r="67" ht="23" customHeight="1">
      <x:c r="C67" s="1" t="str">
        <x:v>임베딩 USD/백만 토큰</x:v>
      </x:c>
      <x:c r="D67" s="13" t="n">
        <x:v>1</x:v>
      </x:c>
      <x:c r="E67" s="13" t="n">
        <x:v>0.02</x:v>
      </x:c>
      <x:c r="F67" s="13" t="n">
        <x:v>0</x:v>
      </x:c>
      <x:c r="G67" s="1" t="str">
        <x:v>text-embedding-3-small 공식</x:v>
      </x:c>
      <x:c r="H67" s="1"/>
      <x:c r="I67" s="1"/>
      <x:c r="J67" s="1"/>
      <x:c r="K67" s="1"/>
      <x:c r="L67" s="1"/>
      <x:c r="M67" s="1"/>
    </x:row>
    <x:row r="68" ht="23" customHeight="1">
      <x:c r="C68" s="1" t="str">
        <x:v>평균 AI 유료 시도 배수</x:v>
      </x:c>
      <x:c r="D68" s="13" t="n">
        <x:v>1</x:v>
      </x:c>
      <x:c r="E68" s="13" t="n">
        <x:v>0</x:v>
      </x:c>
      <x:c r="F68" s="13" t="n">
        <x:v>1.25</x:v>
      </x:c>
      <x:c r="G68" s="1" t="str">
        <x:v>실패/재시도 가정; 최대와 다름</x:v>
      </x:c>
      <x:c r="H68" s="1"/>
      <x:c r="I68" s="1"/>
      <x:c r="J68" s="1"/>
      <x:c r="K68" s="1"/>
      <x:c r="L68" s="1"/>
      <x:c r="M68" s="1"/>
    </x:row>
    <x:row r="69" ht="23" customHeight="1">
      <x:c r="C69" s="1" t="str">
        <x:v>유료 크롤러 이용 비율</x:v>
      </x:c>
      <x:c r="D69" s="13" t="n">
        <x:v>1</x:v>
      </x:c>
      <x:c r="E69" s="13" t="n">
        <x:v>0</x:v>
      </x:c>
      <x:c r="F69" s="13" t="n">
        <x:v>0.2</x:v>
      </x:c>
      <x:c r="G69" s="1" t="str">
        <x:v>직접 추출 후 fallback 가정</x:v>
      </x:c>
      <x:c r="H69" s="1"/>
      <x:c r="I69" s="1"/>
      <x:c r="J69" s="1"/>
      <x:c r="K69" s="1"/>
      <x:c r="L69" s="1"/>
      <x:c r="M69" s="1"/>
    </x:row>
    <x:row r="70" ht="23" customHeight="1">
      <x:c r="C70" s="1" t="str">
        <x:v>크롤러 사용당 평균 credits</x:v>
      </x:c>
      <x:c r="D70" s="13" t="n">
        <x:v>1</x:v>
      </x:c>
      <x:c r="E70" s="13" t="n">
        <x:v>0</x:v>
      </x:c>
      <x:c r="F70" s="13" t="n">
        <x:v>2</x:v>
      </x:c>
      <x:c r="G70" s="1" t="str">
        <x:v>기능 옵션/재시도 여유 가정</x:v>
      </x:c>
      <x:c r="H70" s="1"/>
      <x:c r="I70" s="1"/>
      <x:c r="J70" s="1"/>
      <x:c r="K70" s="1"/>
      <x:c r="L70" s="1"/>
      <x:c r="M70" s="1"/>
    </x:row>
    <x:row r="71" ht="23" customHeight="1">
      <x:c r="C71" s="1" t="str">
        <x:v>크롤러 추가 USD/credit</x:v>
      </x:c>
      <x:c r="D71" s="13" t="n">
        <x:v>1</x:v>
      </x:c>
      <x:c r="E71" s="21" t="n">
        <x:v>0.005</x:v>
      </x:c>
      <x:c r="F71" s="13" t="n">
        <x:v>0</x:v>
      </x:c>
      <x:c r="G71" s="1" t="str">
        <x:v>Hobby USD5/1000 credits 공식</x:v>
      </x:c>
      <x:c r="H71" s="1"/>
      <x:c r="I71" s="1"/>
      <x:c r="J71" s="1"/>
      <x:c r="K71" s="1"/>
      <x:c r="L71" s="1"/>
      <x:c r="M71" s="1"/>
    </x:row>
    <x:row r="72" ht="23" customHeight="1">
      <x:c r="C72" s="1" t="str">
        <x:v>장소 등 기타 원/분석</x:v>
      </x:c>
      <x:c r="D72" s="13" t="n">
        <x:v>1</x:v>
      </x:c>
      <x:c r="E72" s="13" t="n">
        <x:v>0</x:v>
      </x:c>
      <x:c r="F72" s="13" t="n">
        <x:v>1</x:v>
      </x:c>
      <x:c r="G72" s="1" t="str">
        <x:v>추정; 검색 쿼터/캐시 확인 필요</x:v>
      </x:c>
      <x:c r="H72" s="1"/>
      <x:c r="I72" s="1"/>
      <x:c r="J72" s="1"/>
      <x:c r="K72" s="1"/>
      <x:c r="L72" s="1"/>
      <x:c r="M72" s="1"/>
    </x:row>
    <x:row r="73" ht="23" customHeight="1"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C75" s="1" t="str">
        <x:v>AI 최초1회 원가</x:v>
      </x:c>
      <x:c r="D75" s="12" t="n">
        <x:f>(F62*E65+F63*E66+F64*E67)/1000000*D8</x:f>
        <x:v>5.565</x:v>
      </x:c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C76" s="1" t="str">
        <x:v>평균 재시도 포함 AI 원가</x:v>
      </x:c>
      <x:c r="D76" s="12" t="n">
        <x:f>D75*F68</x:f>
        <x:v>6.956250000000001</x:v>
      </x:c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C77" s="1" t="str">
        <x:v>유료 추출 증분 원가</x:v>
      </x:c>
      <x:c r="D77" s="12" t="n">
        <x:f>F69*F70*E71*D8</x:f>
        <x:v>3</x:v>
      </x:c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C78" s="1" t="str">
        <x:v>AI/추출/장소 합계 참고</x:v>
      </x:c>
      <x:c r="D78" s="12" t="n">
        <x:f>SUM(D76:D77)+F72</x:f>
        <x:v>10.95625</x:v>
      </x:c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C79" s="1" t="str">
        <x:v>첫 구축/기기/등록 비용</x:v>
      </x:c>
      <x:c r="D79" s="12" t="n">
        <x:f>F49*F48+F50+F51+E52*D8</x:f>
        <x:v>8337500</x:v>
      </x:c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dataValidations count="1">
    <x:dataValidation type="whole" operator="between" sqref="D4">
      <x:formula1>1</x:formula1>
      <x:formula2>5</x:formula2>
    </x:dataValidation>
  </x:dataValidations>
  <x:pageMargins left="0.7" right="0.7" top="0.75" bottom="0.75" header="0.3" footer="0.3"/>
</x:worksheet>
</file>